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de93e291f9058b16/Documents/"/>
    </mc:Choice>
  </mc:AlternateContent>
  <xr:revisionPtr revIDLastSave="285" documentId="8_{C589F31C-8D2F-477F-9D80-D20D6E397D08}" xr6:coauthVersionLast="47" xr6:coauthVersionMax="47" xr10:uidLastSave="{B457C79C-B872-4E3A-BFAE-AC4379D6EE6F}"/>
  <bookViews>
    <workbookView xWindow="-108" yWindow="-108" windowWidth="23256" windowHeight="12456" firstSheet="2" activeTab="7" xr2:uid="{BD648B4C-F92C-4FBF-B52C-538CF4155C7A}"/>
  </bookViews>
  <sheets>
    <sheet name="Detail1" sheetId="3" r:id="rId1"/>
    <sheet name="Sheet2" sheetId="2" r:id="rId2"/>
    <sheet name="Sheet3" sheetId="4" r:id="rId3"/>
    <sheet name="Detail2" sheetId="6" r:id="rId4"/>
    <sheet name="Detail3" sheetId="7" r:id="rId5"/>
    <sheet name="Detail4" sheetId="9" r:id="rId6"/>
    <sheet name="Sheet4" sheetId="5" r:id="rId7"/>
    <sheet name="Sheet5" sheetId="8" r:id="rId8"/>
    <sheet name="Sheet1" sheetId="1" r:id="rId9"/>
  </sheets>
  <definedNames>
    <definedName name="Slicer_Department">#N/A</definedName>
    <definedName name="Slicer_Department3">#N/A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1" l="1"/>
  <c r="K19" i="1" s="1"/>
  <c r="J20" i="1"/>
  <c r="K20" i="1" s="1"/>
  <c r="J18" i="1"/>
  <c r="K18" i="1"/>
  <c r="I2" i="1"/>
  <c r="J2" i="1"/>
  <c r="K2" i="1"/>
  <c r="I3" i="1"/>
  <c r="J3" i="1"/>
  <c r="K3" i="1"/>
  <c r="I4" i="1"/>
  <c r="J4" i="1"/>
  <c r="K4" i="1"/>
  <c r="I5" i="1"/>
  <c r="J5" i="1"/>
  <c r="K5" i="1"/>
  <c r="I6" i="1"/>
  <c r="J6" i="1"/>
  <c r="K6" i="1" s="1"/>
  <c r="I7" i="1"/>
  <c r="J7" i="1"/>
  <c r="K7" i="1"/>
  <c r="I8" i="1"/>
  <c r="J8" i="1"/>
  <c r="K8" i="1"/>
  <c r="I9" i="1"/>
  <c r="J9" i="1"/>
  <c r="K9" i="1"/>
  <c r="I10" i="1"/>
  <c r="J10" i="1"/>
  <c r="I11" i="1"/>
  <c r="J11" i="1"/>
  <c r="K11" i="1"/>
  <c r="I12" i="1"/>
  <c r="J12" i="1"/>
  <c r="K12" i="1"/>
  <c r="I13" i="1"/>
  <c r="J13" i="1"/>
  <c r="K13" i="1"/>
  <c r="I14" i="1"/>
  <c r="J14" i="1"/>
  <c r="K14" i="1"/>
  <c r="I15" i="1"/>
  <c r="J15" i="1"/>
  <c r="K15" i="1"/>
  <c r="I16" i="1"/>
  <c r="J16" i="1"/>
  <c r="K16" i="1"/>
  <c r="I17" i="1"/>
  <c r="J17" i="1"/>
  <c r="K17" i="1"/>
</calcChain>
</file>

<file path=xl/sharedStrings.xml><?xml version="1.0" encoding="utf-8"?>
<sst xmlns="http://schemas.openxmlformats.org/spreadsheetml/2006/main" count="213" uniqueCount="51">
  <si>
    <t>S.No</t>
  </si>
  <si>
    <t>Name</t>
  </si>
  <si>
    <t>Department</t>
  </si>
  <si>
    <t>English</t>
  </si>
  <si>
    <t>Maths</t>
  </si>
  <si>
    <t>Science</t>
  </si>
  <si>
    <t>Computer</t>
  </si>
  <si>
    <t>Tamil</t>
  </si>
  <si>
    <t>Total</t>
  </si>
  <si>
    <t>Average</t>
  </si>
  <si>
    <t>Grade</t>
  </si>
  <si>
    <t>Arun Kumar</t>
  </si>
  <si>
    <t>CSE</t>
  </si>
  <si>
    <t>Priya Sharma</t>
  </si>
  <si>
    <t>ECE</t>
  </si>
  <si>
    <t>Rahul Raj</t>
  </si>
  <si>
    <t>EEE</t>
  </si>
  <si>
    <t>Divya S</t>
  </si>
  <si>
    <t>IT</t>
  </si>
  <si>
    <t>Karthik M</t>
  </si>
  <si>
    <t>MECH</t>
  </si>
  <si>
    <t>Sneha R</t>
  </si>
  <si>
    <t>Vijay Kumar</t>
  </si>
  <si>
    <t>Anitha P</t>
  </si>
  <si>
    <t>Suresh B</t>
  </si>
  <si>
    <t>Meena K</t>
  </si>
  <si>
    <t>Dinesh R</t>
  </si>
  <si>
    <t>Lakshmi S</t>
  </si>
  <si>
    <t>Gokul P</t>
  </si>
  <si>
    <t>Nandhini V</t>
  </si>
  <si>
    <t>Prakash M</t>
  </si>
  <si>
    <t>Keerthana R</t>
  </si>
  <si>
    <t>Manoj K</t>
  </si>
  <si>
    <t>Row Labels</t>
  </si>
  <si>
    <t>Grand Total</t>
  </si>
  <si>
    <t>Formula1</t>
  </si>
  <si>
    <t>Formula2</t>
  </si>
  <si>
    <t>Sum of English</t>
  </si>
  <si>
    <t>Sum of Maths</t>
  </si>
  <si>
    <t>Sum of Science</t>
  </si>
  <si>
    <t>Sum of Computer</t>
  </si>
  <si>
    <t>Sum of Tamil</t>
  </si>
  <si>
    <t>Sum of Total</t>
  </si>
  <si>
    <t>A</t>
  </si>
  <si>
    <t>A+</t>
  </si>
  <si>
    <t>Details for Sum of Science - Department: CSE</t>
  </si>
  <si>
    <t>B+</t>
  </si>
  <si>
    <t>Details for Sum of English - Department: ECE</t>
  </si>
  <si>
    <t>Details for Sum of Tamil - Department: MECH</t>
  </si>
  <si>
    <t>Details for Sum of English - Department: CSE</t>
  </si>
  <si>
    <t>DEPARTMENT IN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</si>
</sst>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i/>
      <sz val="28"/>
      <color theme="4" tint="0.39997558519241921"/>
      <name val="Aptos Narrow"/>
      <family val="2"/>
      <scheme val="minor"/>
    </font>
  </fonts>
  <fills count="3">
    <fill>
      <patternFill patternType="none"/>
    </fill>
    <fill>
      <patternFill patternType="gray125"/>
    </fill>
    <fill>
      <patternFill patternType="solid">
        <fgColor theme="0" tint="-0.14999847407452621"/>
        <bgColor theme="0" tint="-0.14999847407452621"/>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right" vertical="center" wrapText="1"/>
    </xf>
    <xf numFmtId="0" fontId="2" fillId="0" borderId="0" xfId="0" applyFont="1" applyAlignment="1">
      <alignment horizontal="right" vertical="center" wrapText="1"/>
    </xf>
    <xf numFmtId="0" fontId="2" fillId="0" borderId="0" xfId="0" applyFont="1" applyAlignment="1">
      <alignment horizontal="center" vertical="center" wrapText="1"/>
    </xf>
    <xf numFmtId="0" fontId="0" fillId="0" borderId="0" xfId="0" applyAlignment="1">
      <alignment vertical="center" wrapText="1"/>
    </xf>
    <xf numFmtId="0" fontId="1"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0" borderId="0" xfId="0" applyFont="1"/>
  </cellXfs>
  <cellStyles count="1">
    <cellStyle name="Normal" xfId="0" builtinId="0"/>
  </cellStyles>
  <dxfs count="13">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[DIVA EXCEL 1.xlsx]Sheet4!PivotTable5</c:name>
    <c:fmtId val="7"/>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Sheet4!$B$14</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Sheet4!$A$15:$A$20</c:f>
              <c:strCache>
                <c:ptCount val="5"/>
                <c:pt idx="0">
                  <c:v>CSE</c:v>
                </c:pt>
                <c:pt idx="1">
                  <c:v>ECE</c:v>
                </c:pt>
                <c:pt idx="2">
                  <c:v>EEE</c:v>
                </c:pt>
                <c:pt idx="3">
                  <c:v>IT</c:v>
                </c:pt>
                <c:pt idx="4">
                  <c:v>MECH</c:v>
                </c:pt>
              </c:strCache>
            </c:strRef>
          </c:cat>
          <c:val>
            <c:numRef>
              <c:f>Sheet4!$B$15:$B$20</c:f>
              <c:numCache>
                <c:formatCode>General</c:formatCode>
                <c:ptCount val="5"/>
                <c:pt idx="0">
                  <c:v>354</c:v>
                </c:pt>
                <c:pt idx="1">
                  <c:v>345</c:v>
                </c:pt>
                <c:pt idx="2">
                  <c:v>213</c:v>
                </c:pt>
                <c:pt idx="3">
                  <c:v>276</c:v>
                </c:pt>
                <c:pt idx="4">
                  <c:v>234</c:v>
                </c:pt>
              </c:numCache>
            </c:numRef>
          </c:val>
          <c:extLst>
            <c:ext xmlns:c16="http://schemas.microsoft.com/office/drawing/2014/chart" uri="{C3380CC4-5D6E-409C-BE32-E72D297353CC}">
              <c16:uniqueId val="{00000000-26ED-43B2-B21C-E6FC4BA0E3E3}"/>
            </c:ext>
          </c:extLst>
        </c:ser>
        <c:dLbls>
          <c:showLegendKey val="0"/>
          <c:showVal val="1"/>
          <c:showCatName val="0"/>
          <c:showSerName val="0"/>
          <c:showPercent val="0"/>
          <c:showBubbleSize val="0"/>
        </c:dLbls>
        <c:gapWidth val="84"/>
        <c:gapDepth val="53"/>
        <c:shape val="box"/>
        <c:axId val="1747715600"/>
        <c:axId val="1747714640"/>
        <c:axId val="0"/>
      </c:bar3DChart>
      <c:catAx>
        <c:axId val="1747715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7714640"/>
        <c:crosses val="autoZero"/>
        <c:auto val="1"/>
        <c:lblAlgn val="ctr"/>
        <c:lblOffset val="100"/>
        <c:noMultiLvlLbl val="0"/>
      </c:catAx>
      <c:valAx>
        <c:axId val="1747714640"/>
        <c:scaling>
          <c:orientation val="minMax"/>
        </c:scaling>
        <c:delete val="1"/>
        <c:axPos val="l"/>
        <c:numFmt formatCode="General" sourceLinked="1"/>
        <c:majorTickMark val="out"/>
        <c:minorTickMark val="none"/>
        <c:tickLblPos val="nextTo"/>
        <c:crossAx val="174771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[DIVA EXCEL 1.xlsx]Sheet4!PivotTable6</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48824241133874996"/>
          <c:y val="0.40121393900387642"/>
          <c:w val="0.34515616879920696"/>
          <c:h val="0.57458540900769228"/>
        </c:manualLayout>
      </c:layout>
      <c:doughnutChart>
        <c:varyColors val="1"/>
        <c:ser>
          <c:idx val="0"/>
          <c:order val="0"/>
          <c:tx>
            <c:strRef>
              <c:f>Sheet4!$F$14</c:f>
              <c:strCache>
                <c:ptCount val="1"/>
                <c:pt idx="0">
                  <c:v>Total</c:v>
                </c:pt>
              </c:strCache>
            </c:strRef>
          </c:tx>
          <c:explosion val="29"/>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0B-4E81-BAF4-BEEB7CC141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0B-4E81-BAF4-BEEB7CC141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0B-4E81-BAF4-BEEB7CC1417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40B-4E81-BAF4-BEEB7CC1417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40B-4E81-BAF4-BEEB7CC1417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40B-4E81-BAF4-BEEB7CC1417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40B-4E81-BAF4-BEEB7CC1417F}"/>
              </c:ext>
            </c:extLst>
          </c:dPt>
          <c:cat>
            <c:strRef>
              <c:f>Sheet4!$E$15:$E$22</c:f>
              <c:strCache>
                <c:ptCount val="7"/>
                <c:pt idx="0">
                  <c:v>CSE</c:v>
                </c:pt>
                <c:pt idx="1">
                  <c:v>ECE</c:v>
                </c:pt>
                <c:pt idx="2">
                  <c:v>EEE</c:v>
                </c:pt>
                <c:pt idx="3">
                  <c:v>Formula1</c:v>
                </c:pt>
                <c:pt idx="4">
                  <c:v>Formula2</c:v>
                </c:pt>
                <c:pt idx="5">
                  <c:v>IT</c:v>
                </c:pt>
                <c:pt idx="6">
                  <c:v>MECH</c:v>
                </c:pt>
              </c:strCache>
            </c:strRef>
          </c:cat>
          <c:val>
            <c:numRef>
              <c:f>Sheet4!$F$15:$F$22</c:f>
              <c:numCache>
                <c:formatCode>General</c:formatCode>
                <c:ptCount val="7"/>
                <c:pt idx="0">
                  <c:v>344</c:v>
                </c:pt>
                <c:pt idx="1">
                  <c:v>333</c:v>
                </c:pt>
                <c:pt idx="2">
                  <c:v>214</c:v>
                </c:pt>
                <c:pt idx="5">
                  <c:v>261</c:v>
                </c:pt>
                <c:pt idx="6">
                  <c:v>241</c:v>
                </c:pt>
              </c:numCache>
            </c:numRef>
          </c:val>
          <c:extLst>
            <c:ext xmlns:c16="http://schemas.microsoft.com/office/drawing/2014/chart" uri="{C3380CC4-5D6E-409C-BE32-E72D297353CC}">
              <c16:uniqueId val="{0000000E-140B-4E81-BAF4-BEEB7CC141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4047350865264202"/>
          <c:y val="0.34960652502933376"/>
          <c:w val="0.24531940027884425"/>
          <c:h val="0.49629487065275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[DIVA EXCEL 1.xlsx]Sheet4!PivotTable4</c:name>
    <c:fmtId val="10"/>
  </c:pivotSource>
  <c:chart>
    <c:title>
      <c:overlay val="0"/>
      <c:spPr>
        <a:noFill/>
        <a:ln>
          <a:noFill/>
        </a:ln>
        <a:effectLst/>
      </c:spPr>
      <c:txPr>
        <a:bodyPr rot="0" spcFirstLastPara="1" vertOverflow="ellipsis" vert="horz" wrap="square" anchor="ctr" anchorCtr="1"/>
        <a:lstStyle/>
        <a:p>
          <a:pPr>
            <a:defRPr sz="1500" b="0" i="1" u="sng" strike="noStrike" kern="1200" cap="all" spc="100" normalizeH="0" baseline="0">
              <a:solidFill>
                <a:schemeClr val="lt1"/>
              </a:solidFill>
              <a:latin typeface="Algerian" panose="04020705040A02060702" pitchFamily="82" charset="0"/>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anchor="ctr" anchorCtr="1"/>
            <a:lstStyle/>
            <a:p>
              <a:pPr>
                <a:defRPr sz="900" b="0" i="1" u="sng" strike="noStrike" kern="1200" baseline="0">
                  <a:solidFill>
                    <a:schemeClr val="lt1"/>
                  </a:solidFill>
                  <a:latin typeface="Algerian" panose="04020705040A02060702" pitchFamily="82"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Sheet4!$J$3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anchor="ctr" anchorCtr="1"/>
              <a:lstStyle/>
              <a:p>
                <a:pPr>
                  <a:defRPr sz="900" b="0" i="1" u="sng" strike="noStrike" kern="1200" baseline="0">
                    <a:solidFill>
                      <a:schemeClr val="lt1"/>
                    </a:solidFill>
                    <a:latin typeface="Algerian" panose="04020705040A02060702" pitchFamily="8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Sheet4!$I$4:$I$9</c:f>
              <c:strCache>
                <c:ptCount val="5"/>
                <c:pt idx="0">
                  <c:v>CSE</c:v>
                </c:pt>
                <c:pt idx="1">
                  <c:v>ECE</c:v>
                </c:pt>
                <c:pt idx="2">
                  <c:v>EEE</c:v>
                </c:pt>
                <c:pt idx="3">
                  <c:v>IT</c:v>
                </c:pt>
                <c:pt idx="4">
                  <c:v>MECH</c:v>
                </c:pt>
              </c:strCache>
            </c:strRef>
          </c:cat>
          <c:val>
            <c:numRef>
              <c:f>Sheet4!$J$4:$J$9</c:f>
              <c:numCache>
                <c:formatCode>General</c:formatCode>
                <c:ptCount val="5"/>
                <c:pt idx="0">
                  <c:v>351</c:v>
                </c:pt>
                <c:pt idx="1">
                  <c:v>330</c:v>
                </c:pt>
                <c:pt idx="2">
                  <c:v>208</c:v>
                </c:pt>
                <c:pt idx="3">
                  <c:v>268</c:v>
                </c:pt>
                <c:pt idx="4">
                  <c:v>233</c:v>
                </c:pt>
              </c:numCache>
            </c:numRef>
          </c:val>
          <c:smooth val="0"/>
          <c:extLst>
            <c:ext xmlns:c16="http://schemas.microsoft.com/office/drawing/2014/chart" uri="{C3380CC4-5D6E-409C-BE32-E72D297353CC}">
              <c16:uniqueId val="{00000000-CC72-4AF9-A6B1-92FD11BEC7E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68279504"/>
        <c:axId val="1668277104"/>
      </c:lineChart>
      <c:catAx>
        <c:axId val="1668279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1" u="sng" strike="noStrike" kern="1200" spc="30" baseline="0">
                <a:solidFill>
                  <a:schemeClr val="lt1"/>
                </a:solidFill>
                <a:latin typeface="Algerian" panose="04020705040A02060702" pitchFamily="82" charset="0"/>
                <a:ea typeface="+mn-ea"/>
                <a:cs typeface="+mn-cs"/>
              </a:defRPr>
            </a:pPr>
            <a:endParaRPr lang="en-US"/>
          </a:p>
        </c:txPr>
        <c:crossAx val="1668277104"/>
        <c:crosses val="autoZero"/>
        <c:auto val="1"/>
        <c:lblAlgn val="ctr"/>
        <c:lblOffset val="100"/>
        <c:noMultiLvlLbl val="0"/>
      </c:catAx>
      <c:valAx>
        <c:axId val="1668277104"/>
        <c:scaling>
          <c:orientation val="minMax"/>
        </c:scaling>
        <c:delete val="1"/>
        <c:axPos val="l"/>
        <c:numFmt formatCode="General" sourceLinked="1"/>
        <c:majorTickMark val="none"/>
        <c:minorTickMark val="none"/>
        <c:tickLblPos val="nextTo"/>
        <c:crossAx val="166827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sng" strike="noStrike" kern="1200" baseline="0">
              <a:solidFill>
                <a:schemeClr val="lt1"/>
              </a:solidFill>
              <a:latin typeface="Algerian" panose="04020705040A02060702" pitchFamily="82"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b="0" i="1" u="sng">
          <a:latin typeface="Algerian" panose="04020705040A02060702" pitchFamily="8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[DIVA EXCEL 1.xlsx]Sheet4!PivotTable3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Sheet4!$E$4:$E$9</c:f>
              <c:strCache>
                <c:ptCount val="5"/>
                <c:pt idx="0">
                  <c:v>CSE</c:v>
                </c:pt>
                <c:pt idx="1">
                  <c:v>ECE</c:v>
                </c:pt>
                <c:pt idx="2">
                  <c:v>EEE</c:v>
                </c:pt>
                <c:pt idx="3">
                  <c:v>IT</c:v>
                </c:pt>
                <c:pt idx="4">
                  <c:v>MECH</c:v>
                </c:pt>
              </c:strCache>
            </c:strRef>
          </c:cat>
          <c:val>
            <c:numRef>
              <c:f>Sheet4!$F$4:$F$9</c:f>
              <c:numCache>
                <c:formatCode>General</c:formatCode>
                <c:ptCount val="5"/>
                <c:pt idx="0">
                  <c:v>358</c:v>
                </c:pt>
                <c:pt idx="1">
                  <c:v>342</c:v>
                </c:pt>
                <c:pt idx="2">
                  <c:v>209</c:v>
                </c:pt>
                <c:pt idx="3">
                  <c:v>259</c:v>
                </c:pt>
                <c:pt idx="4">
                  <c:v>216</c:v>
                </c:pt>
              </c:numCache>
            </c:numRef>
          </c:val>
          <c:extLst>
            <c:ext xmlns:c16="http://schemas.microsoft.com/office/drawing/2014/chart" uri="{C3380CC4-5D6E-409C-BE32-E72D297353CC}">
              <c16:uniqueId val="{00000000-F02F-4245-8103-4C03C1C69A1B}"/>
            </c:ext>
          </c:extLst>
        </c:ser>
        <c:dLbls>
          <c:showLegendKey val="0"/>
          <c:showVal val="0"/>
          <c:showCatName val="0"/>
          <c:showSerName val="0"/>
          <c:showPercent val="0"/>
          <c:showBubbleSize val="0"/>
        </c:dLbls>
        <c:gapWidth val="150"/>
        <c:shape val="box"/>
        <c:axId val="1666187248"/>
        <c:axId val="1666181488"/>
        <c:axId val="0"/>
      </c:bar3DChart>
      <c:catAx>
        <c:axId val="166618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181488"/>
        <c:crosses val="autoZero"/>
        <c:auto val="1"/>
        <c:lblAlgn val="ctr"/>
        <c:lblOffset val="100"/>
        <c:noMultiLvlLbl val="0"/>
      </c:catAx>
      <c:valAx>
        <c:axId val="166618148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18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[DIVA EXCEL 1.xlsx]Sheet4!PivotTable2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B4-45FE-8363-A91CAA582C6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B4-45FE-8363-A91CAA582C6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B4-45FE-8363-A91CAA582C6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1B4-45FE-8363-A91CAA582C6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1B4-45FE-8363-A91CAA582C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Sheet4!$A$4:$A$9</c:f>
              <c:strCache>
                <c:ptCount val="5"/>
                <c:pt idx="0">
                  <c:v>CSE</c:v>
                </c:pt>
                <c:pt idx="1">
                  <c:v>ECE</c:v>
                </c:pt>
                <c:pt idx="2">
                  <c:v>EEE</c:v>
                </c:pt>
                <c:pt idx="3">
                  <c:v>IT</c:v>
                </c:pt>
                <c:pt idx="4">
                  <c:v>MECH</c:v>
                </c:pt>
              </c:strCache>
            </c:strRef>
          </c:cat>
          <c:val>
            <c:numRef>
              <c:f>Sheet4!$B$4:$B$9</c:f>
              <c:numCache>
                <c:formatCode>General</c:formatCode>
                <c:ptCount val="5"/>
                <c:pt idx="0">
                  <c:v>341</c:v>
                </c:pt>
                <c:pt idx="1">
                  <c:v>336</c:v>
                </c:pt>
                <c:pt idx="2">
                  <c:v>201</c:v>
                </c:pt>
                <c:pt idx="3">
                  <c:v>267</c:v>
                </c:pt>
                <c:pt idx="4">
                  <c:v>227</c:v>
                </c:pt>
              </c:numCache>
            </c:numRef>
          </c:val>
          <c:extLst>
            <c:ext xmlns:c16="http://schemas.microsoft.com/office/drawing/2014/chart" uri="{C3380CC4-5D6E-409C-BE32-E72D297353CC}">
              <c16:uniqueId val="{0000000A-31B4-45FE-8363-A91CAA582C6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[DIVA EXCEL 1.xlsx]Sheet4!PivotTable8</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44786718819834"/>
          <c:y val="0.24790671897920669"/>
          <c:w val="0.68253930685976938"/>
          <c:h val="0.21512645153591489"/>
        </c:manualLayout>
      </c:layout>
      <c:area3DChart>
        <c:grouping val="standard"/>
        <c:varyColors val="0"/>
        <c:ser>
          <c:idx val="0"/>
          <c:order val="0"/>
          <c:tx>
            <c:strRef>
              <c:f>Sheet4!$J$14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Sheet4!$I$15:$I$20</c:f>
              <c:strCache>
                <c:ptCount val="5"/>
                <c:pt idx="0">
                  <c:v>CSE</c:v>
                </c:pt>
                <c:pt idx="1">
                  <c:v>ECE</c:v>
                </c:pt>
                <c:pt idx="2">
                  <c:v>EEE</c:v>
                </c:pt>
                <c:pt idx="3">
                  <c:v>IT</c:v>
                </c:pt>
                <c:pt idx="4">
                  <c:v>MECH</c:v>
                </c:pt>
              </c:strCache>
            </c:strRef>
          </c:cat>
          <c:val>
            <c:numRef>
              <c:f>Sheet4!$J$15:$J$20</c:f>
              <c:numCache>
                <c:formatCode>General</c:formatCode>
                <c:ptCount val="5"/>
                <c:pt idx="0">
                  <c:v>358</c:v>
                </c:pt>
                <c:pt idx="1">
                  <c:v>342</c:v>
                </c:pt>
                <c:pt idx="2">
                  <c:v>209</c:v>
                </c:pt>
                <c:pt idx="3">
                  <c:v>259</c:v>
                </c:pt>
                <c:pt idx="4">
                  <c:v>216</c:v>
                </c:pt>
              </c:numCache>
            </c:numRef>
          </c:val>
          <c:extLst>
            <c:ext xmlns:c16="http://schemas.microsoft.com/office/drawing/2014/chart" uri="{C3380CC4-5D6E-409C-BE32-E72D297353CC}">
              <c16:uniqueId val="{00000000-042C-4888-8073-9D0C25B15AF1}"/>
            </c:ext>
          </c:extLst>
        </c:ser>
        <c:dLbls>
          <c:showLegendKey val="0"/>
          <c:showVal val="0"/>
          <c:showCatName val="0"/>
          <c:showSerName val="0"/>
          <c:showPercent val="0"/>
          <c:showBubbleSize val="0"/>
        </c:dLbls>
        <c:axId val="1602902144"/>
        <c:axId val="1602904064"/>
        <c:axId val="1853558976"/>
      </c:area3DChart>
      <c:catAx>
        <c:axId val="160290214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904064"/>
        <c:crosses val="autoZero"/>
        <c:auto val="1"/>
        <c:lblAlgn val="ctr"/>
        <c:lblOffset val="100"/>
        <c:noMultiLvlLbl val="0"/>
      </c:catAx>
      <c:valAx>
        <c:axId val="16029040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902144"/>
        <c:crosses val="autoZero"/>
        <c:crossBetween val="midCat"/>
      </c:valAx>
      <c:serAx>
        <c:axId val="185355897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290406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501688</xdr:colOff>
      <xdr:row>30</xdr:row>
      <xdr:rowOff>133178</xdr:rowOff>
    </xdr:from>
    <xdr:to>
      <xdr:col>8</xdr:col>
      <xdr:colOff>608061</xdr:colOff>
      <xdr:row>41</xdr:row>
      <xdr:rowOff>15394</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D9EC64EB-3D9C-E94F-7D12-6B1944B6669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751627" y="5674996"/>
              <a:ext cx="106373" cy="1914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106680</xdr:rowOff>
    </xdr:from>
    <xdr:to>
      <xdr:col>6</xdr:col>
      <xdr:colOff>29249</xdr:colOff>
      <xdr:row>25</xdr:row>
      <xdr:rowOff>3386</xdr:rowOff>
    </xdr:to>
    <xdr:graphicFrame macro="">
      <xdr:nvGraphicFramePr>
        <xdr:cNvPr id="2" name="Chart 1">
          <a:extLst>
            <a:ext uri="{FF2B5EF4-FFF2-40B4-BE49-F238E27FC236}">
              <a16:creationId xmlns:a16="http://schemas.microsoft.com/office/drawing/2014/main" id="{1252AF4D-CDA5-44DE-A06F-7B5F6168A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13</xdr:row>
      <xdr:rowOff>83820</xdr:rowOff>
    </xdr:from>
    <xdr:to>
      <xdr:col>12</xdr:col>
      <xdr:colOff>278784</xdr:colOff>
      <xdr:row>24</xdr:row>
      <xdr:rowOff>171257</xdr:rowOff>
    </xdr:to>
    <xdr:graphicFrame macro="">
      <xdr:nvGraphicFramePr>
        <xdr:cNvPr id="3" name="Chart 2">
          <a:extLst>
            <a:ext uri="{FF2B5EF4-FFF2-40B4-BE49-F238E27FC236}">
              <a16:creationId xmlns:a16="http://schemas.microsoft.com/office/drawing/2014/main" id="{6F7CDB1B-AB14-4591-AC29-25F9A3FC6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xdr:colOff>
      <xdr:row>13</xdr:row>
      <xdr:rowOff>114300</xdr:rowOff>
    </xdr:from>
    <xdr:to>
      <xdr:col>18</xdr:col>
      <xdr:colOff>84436</xdr:colOff>
      <xdr:row>24</xdr:row>
      <xdr:rowOff>163098</xdr:rowOff>
    </xdr:to>
    <xdr:graphicFrame macro="">
      <xdr:nvGraphicFramePr>
        <xdr:cNvPr id="4" name="Chart 3">
          <a:extLst>
            <a:ext uri="{FF2B5EF4-FFF2-40B4-BE49-F238E27FC236}">
              <a16:creationId xmlns:a16="http://schemas.microsoft.com/office/drawing/2014/main" id="{83A3E87A-1F46-4B5E-A4B2-4F2290B92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7620</xdr:rowOff>
    </xdr:from>
    <xdr:to>
      <xdr:col>5</xdr:col>
      <xdr:colOff>407941</xdr:colOff>
      <xdr:row>38</xdr:row>
      <xdr:rowOff>150367</xdr:rowOff>
    </xdr:to>
    <xdr:graphicFrame macro="">
      <xdr:nvGraphicFramePr>
        <xdr:cNvPr id="5" name="Chart 4">
          <a:extLst>
            <a:ext uri="{FF2B5EF4-FFF2-40B4-BE49-F238E27FC236}">
              <a16:creationId xmlns:a16="http://schemas.microsoft.com/office/drawing/2014/main" id="{89042B4D-FFBC-4478-BDE1-EE208CA4E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304800</xdr:colOff>
      <xdr:row>27</xdr:row>
      <xdr:rowOff>7620</xdr:rowOff>
    </xdr:from>
    <xdr:to>
      <xdr:col>12</xdr:col>
      <xdr:colOff>128668</xdr:colOff>
      <xdr:row>38</xdr:row>
      <xdr:rowOff>175260</xdr:rowOff>
    </xdr:to>
    <xdr:graphicFrame macro="">
      <xdr:nvGraphicFramePr>
        <xdr:cNvPr id="6" name="Chart 5">
          <a:extLst>
            <a:ext uri="{FF2B5EF4-FFF2-40B4-BE49-F238E27FC236}">
              <a16:creationId xmlns:a16="http://schemas.microsoft.com/office/drawing/2014/main" id="{B3315AF7-0042-4F27-88C6-0361554FA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365760</xdr:colOff>
      <xdr:row>27</xdr:row>
      <xdr:rowOff>91440</xdr:rowOff>
    </xdr:from>
    <xdr:to>
      <xdr:col>19</xdr:col>
      <xdr:colOff>70195</xdr:colOff>
      <xdr:row>37</xdr:row>
      <xdr:rowOff>122997</xdr:rowOff>
    </xdr:to>
    <xdr:graphicFrame macro="">
      <xdr:nvGraphicFramePr>
        <xdr:cNvPr id="7" name="Chart 6">
          <a:extLst>
            <a:ext uri="{FF2B5EF4-FFF2-40B4-BE49-F238E27FC236}">
              <a16:creationId xmlns:a16="http://schemas.microsoft.com/office/drawing/2014/main" id="{8FD9AE10-C36E-45D3-96D5-3625E05EF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487680</xdr:colOff>
      <xdr:row>20</xdr:row>
      <xdr:rowOff>129540</xdr:rowOff>
    </xdr:from>
    <xdr:to>
      <xdr:col>8</xdr:col>
      <xdr:colOff>114300</xdr:colOff>
      <xdr:row>21</xdr:row>
      <xdr:rowOff>28575</xdr:rowOff>
    </xdr:to>
    <mc:AlternateContent xmlns:mc="http://schemas.openxmlformats.org/markup-compatibility/2006">
      <mc:Choice xmlns:a14="http://schemas.microsoft.com/office/drawing/2010/main" Requires="a14">
        <xdr:graphicFrame macro="">
          <xdr:nvGraphicFramePr>
            <xdr:cNvPr id="10" name="Department 3">
              <a:extLst>
                <a:ext uri="{FF2B5EF4-FFF2-40B4-BE49-F238E27FC236}">
                  <a16:creationId xmlns:a16="http://schemas.microsoft.com/office/drawing/2014/main" id="{73766250-9099-583A-A3C6-68C7CF92293C}"/>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4754880" y="4069080"/>
              <a:ext cx="236220" cy="81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AKAR V" refreshedDate="46276.466389120367" createdVersion="8" refreshedVersion="8" minRefreshableVersion="3" recordCount="17" xr:uid="{B821F648-A4D8-4899-B03C-405E85209C89}">
  <cacheSource type="worksheet">
    <worksheetSource name="Table2"/>
  </cacheSource>
  <cacheFields count="11">
    <cacheField name="S.No" numFmtId="0">
      <sharedItems containsSemiMixedTypes="0" containsString="0" containsNumber="1" containsInteger="1" minValue="1" maxValue="17"/>
    </cacheField>
    <cacheField name="Name" numFmtId="0">
      <sharedItems count="17">
        <s v="Arun Kumar"/>
        <s v="Priya Sharma"/>
        <s v="Rahul Raj"/>
        <s v="Divya S"/>
        <s v="Karthik M"/>
        <s v="Sneha R"/>
        <s v="Vijay Kumar"/>
        <s v="Anitha P"/>
        <s v="Suresh B"/>
        <s v="Meena K"/>
        <s v="Dinesh R"/>
        <s v="Lakshmi S"/>
        <s v="Gokul P"/>
        <s v="Nandhini V"/>
        <s v="Prakash M"/>
        <s v="Keerthana R"/>
        <s v="Manoj K"/>
      </sharedItems>
    </cacheField>
    <cacheField name="Department" numFmtId="0">
      <sharedItems count="7">
        <s v="CSE"/>
        <s v="ECE"/>
        <s v="EEE"/>
        <s v="IT"/>
        <s v="MECH"/>
        <s v="Formula1" f="1"/>
        <s v="Formula2" f="1"/>
      </sharedItems>
    </cacheField>
    <cacheField name="English" numFmtId="0">
      <sharedItems containsSemiMixedTypes="0" containsString="0" containsNumber="1" containsInteger="1" minValue="65" maxValue="95"/>
    </cacheField>
    <cacheField name="Maths" numFmtId="0">
      <sharedItems containsSemiMixedTypes="0" containsString="0" containsNumber="1" containsInteger="1" minValue="64" maxValue="95"/>
    </cacheField>
    <cacheField name="Science" numFmtId="0">
      <sharedItems containsSemiMixedTypes="0" containsString="0" containsNumber="1" containsInteger="1" minValue="66" maxValue="94"/>
    </cacheField>
    <cacheField name="Computer" numFmtId="0">
      <sharedItems containsSemiMixedTypes="0" containsString="0" containsNumber="1" containsInteger="1" minValue="68" maxValue="97"/>
    </cacheField>
    <cacheField name="Tamil" numFmtId="0">
      <sharedItems containsSemiMixedTypes="0" containsString="0" containsNumber="1" containsInteger="1" minValue="69" maxValue="94"/>
    </cacheField>
    <cacheField name="Total" numFmtId="0">
      <sharedItems containsSemiMixedTypes="0" containsString="0" containsNumber="1" containsInteger="1" minValue="87" maxValue="466"/>
    </cacheField>
    <cacheField name="Average" numFmtId="0">
      <sharedItems containsSemiMixedTypes="0" containsString="0" containsNumber="1" minValue="68.400000000000006" maxValue="93.2"/>
    </cacheField>
    <cacheField name="Grade" numFmtId="0">
      <sharedItems containsBlank="1"/>
    </cacheField>
  </cacheFields>
  <calculatedItems count="2">
    <calculatedItem>
      <pivotArea cacheIndex="1" outline="0" fieldPosition="0">
        <references count="1">
          <reference field="2" count="1">
            <x v="5"/>
          </reference>
        </references>
      </pivotArea>
    </calculatedItem>
    <calculatedItem>
      <pivotArea cacheIndex="1" outline="0" fieldPosition="0">
        <references count="1">
          <reference field="2" count="1">
            <x v="6"/>
          </reference>
        </references>
      </pivotArea>
    </calculatedItem>
  </calculatedItems>
  <extLst>
    <ext xmlns:x14="http://schemas.microsoft.com/office/spreadsheetml/2009/9/main" uri="{725AE2AE-9491-48be-B2B4-4EB974FC3084}">
      <x14:pivotCacheDefinition pivotCacheId="270728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x v="0"/>
    <x v="0"/>
    <n v="78"/>
    <n v="85"/>
    <n v="82"/>
    <n v="91"/>
    <n v="76"/>
    <n v="412"/>
    <n v="82.4"/>
    <s v="A"/>
  </r>
  <r>
    <n v="2"/>
    <x v="1"/>
    <x v="1"/>
    <n v="88"/>
    <n v="92"/>
    <n v="84"/>
    <n v="89"/>
    <n v="90"/>
    <n v="443"/>
    <n v="88.6"/>
    <s v="A"/>
  </r>
  <r>
    <n v="3"/>
    <x v="2"/>
    <x v="2"/>
    <n v="65"/>
    <n v="72"/>
    <n v="70"/>
    <n v="68"/>
    <n v="74"/>
    <n v="349"/>
    <n v="69.8"/>
    <s v="B"/>
  </r>
  <r>
    <n v="4"/>
    <x v="3"/>
    <x v="3"/>
    <n v="91"/>
    <n v="87"/>
    <n v="94"/>
    <n v="96"/>
    <n v="89"/>
    <n v="457"/>
    <n v="91.4"/>
    <s v="A+"/>
  </r>
  <r>
    <n v="5"/>
    <x v="4"/>
    <x v="4"/>
    <n v="76"/>
    <n v="69"/>
    <n v="73"/>
    <n v="71"/>
    <n v="78"/>
    <n v="367"/>
    <n v="73.400000000000006"/>
    <s v="B+"/>
  </r>
  <r>
    <n v="6"/>
    <x v="5"/>
    <x v="0"/>
    <n v="84"/>
    <n v="88"/>
    <n v="91"/>
    <n v="86"/>
    <n v="83"/>
    <n v="432"/>
    <n v="86.4"/>
    <s v="A"/>
  </r>
  <r>
    <n v="7"/>
    <x v="6"/>
    <x v="1"/>
    <n v="72"/>
    <n v="75"/>
    <n v="68"/>
    <n v="79"/>
    <n v="70"/>
    <n v="364"/>
    <n v="72.8"/>
    <s v="B+"/>
  </r>
  <r>
    <n v="8"/>
    <x v="7"/>
    <x v="3"/>
    <n v="95"/>
    <n v="93"/>
    <n v="89"/>
    <n v="97"/>
    <n v="92"/>
    <n v="466"/>
    <n v="93.2"/>
    <s v="A+"/>
  </r>
  <r>
    <n v="9"/>
    <x v="8"/>
    <x v="2"/>
    <n v="67"/>
    <n v="64"/>
    <n v="72"/>
    <n v="70"/>
    <n v="69"/>
    <n v="342"/>
    <n v="68.400000000000006"/>
    <m/>
  </r>
  <r>
    <n v="10"/>
    <x v="9"/>
    <x v="0"/>
    <n v="86"/>
    <n v="90"/>
    <n v="88"/>
    <n v="85"/>
    <n v="91"/>
    <n v="440"/>
    <n v="88"/>
    <s v="A"/>
  </r>
  <r>
    <n v="11"/>
    <x v="10"/>
    <x v="4"/>
    <n v="74"/>
    <n v="78"/>
    <n v="71"/>
    <n v="76"/>
    <n v="73"/>
    <n v="372"/>
    <n v="74.400000000000006"/>
    <s v="B+"/>
  </r>
  <r>
    <n v="12"/>
    <x v="11"/>
    <x v="1"/>
    <n v="89"/>
    <n v="84"/>
    <n v="92"/>
    <n v="87"/>
    <n v="88"/>
    <n v="440"/>
    <n v="88"/>
    <s v="A"/>
  </r>
  <r>
    <n v="13"/>
    <x v="12"/>
    <x v="3"/>
    <n v="81"/>
    <n v="79"/>
    <n v="85"/>
    <n v="83"/>
    <n v="80"/>
    <n v="408"/>
    <n v="81.599999999999994"/>
    <s v="A"/>
  </r>
  <r>
    <n v="14"/>
    <x v="13"/>
    <x v="0"/>
    <n v="93"/>
    <n v="95"/>
    <n v="90"/>
    <n v="92"/>
    <n v="94"/>
    <n v="464"/>
    <n v="92.8"/>
    <s v="A+"/>
  </r>
  <r>
    <n v="15"/>
    <x v="14"/>
    <x v="2"/>
    <n v="69"/>
    <n v="73"/>
    <n v="66"/>
    <n v="75"/>
    <n v="71"/>
    <n v="354"/>
    <n v="70.8"/>
    <s v="B+"/>
  </r>
  <r>
    <n v="16"/>
    <x v="15"/>
    <x v="1"/>
    <n v="87"/>
    <n v="91"/>
    <n v="86"/>
    <n v="90"/>
    <n v="85"/>
    <n v="439"/>
    <n v="87.8"/>
    <s v="A"/>
  </r>
  <r>
    <n v="17"/>
    <x v="16"/>
    <x v="4"/>
    <n v="77"/>
    <n v="69"/>
    <n v="89"/>
    <n v="87"/>
    <n v="90"/>
    <n v="87"/>
    <n v="82.4"/>
    <s 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659057-FE90-4632-8904-18C2E741EB6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0" firstDataRow="1" firstDataCol="1"/>
  <pivotFields count="11">
    <pivotField showAll="0"/>
    <pivotField showAll="0">
      <items count="18">
        <item x="7"/>
        <item x="0"/>
        <item x="10"/>
        <item x="3"/>
        <item x="12"/>
        <item x="4"/>
        <item x="15"/>
        <item x="11"/>
        <item x="16"/>
        <item x="9"/>
        <item x="13"/>
        <item x="14"/>
        <item x="1"/>
        <item x="2"/>
        <item x="5"/>
        <item x="8"/>
        <item x="6"/>
        <item t="default"/>
      </items>
    </pivotField>
    <pivotField axis="axisRow" showAll="0">
      <items count="8">
        <item x="0"/>
        <item x="1"/>
        <item x="2"/>
        <item x="3"/>
        <item x="4"/>
        <item f="1" x="5"/>
        <item f="1" x="6"/>
        <item t="default"/>
      </items>
    </pivotField>
    <pivotField dataField="1" showAll="0"/>
    <pivotField dataField="1" showAll="0"/>
    <pivotField dataField="1" showAll="0"/>
    <pivotField dataField="1" showAll="0"/>
    <pivotField dataField="1" showAll="0"/>
    <pivotField dataField="1" showAll="0"/>
    <pivotField showAll="0"/>
    <pivotField showAll="0"/>
  </pivotFields>
  <rowFields count="1">
    <field x="2"/>
  </rowFields>
  <rowItems count="8">
    <i>
      <x/>
    </i>
    <i>
      <x v="1"/>
    </i>
    <i>
      <x v="2"/>
    </i>
    <i>
      <x v="3"/>
    </i>
    <i>
      <x v="4"/>
    </i>
    <i>
      <x v="5"/>
    </i>
    <i>
      <x v="6"/>
    </i>
    <i t="grand">
      <x/>
    </i>
  </rowItems>
  <colFields count="1">
    <field x="-2"/>
  </colFields>
  <colItems count="6">
    <i>
      <x/>
    </i>
    <i i="1">
      <x v="1"/>
    </i>
    <i i="2">
      <x v="2"/>
    </i>
    <i i="3">
      <x v="3"/>
    </i>
    <i i="4">
      <x v="4"/>
    </i>
    <i i="5">
      <x v="5"/>
    </i>
  </colItems>
  <dataFields count="6">
    <dataField name="Sum of English" fld="3" baseField="0" baseItem="0"/>
    <dataField name="Sum of Maths" fld="4" baseField="0" baseItem="0"/>
    <dataField name="Sum of Science" fld="5" baseField="0" baseItem="0"/>
    <dataField name="Sum of Computer" fld="6" baseField="0" baseItem="0"/>
    <dataField name="Sum of Tamil" fld="7" baseField="0" baseItem="0"/>
    <dataField name="Sum of Tot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0336DF-DB07-47DC-A899-14B70DCD290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1" firstHeaderRow="1" firstDataRow="1" firstDataCol="1"/>
  <pivotFields count="11">
    <pivotField showAll="0"/>
    <pivotField showAll="0"/>
    <pivotField axis="axisRow" showAll="0">
      <items count="8">
        <item x="0"/>
        <item x="1"/>
        <item x="2"/>
        <item f="1" x="5"/>
        <item f="1" x="6"/>
        <item x="3"/>
        <item x="4"/>
        <item t="default"/>
      </items>
    </pivotField>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E1045A-8969-45FF-B0EC-FADA3E8E3A3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4:J20" firstHeaderRow="1" firstDataRow="1" firstDataCol="1"/>
  <pivotFields count="11">
    <pivotField showAll="0"/>
    <pivotField showAll="0"/>
    <pivotField axis="axisRow" showAll="0">
      <items count="8">
        <item x="0"/>
        <item x="1"/>
        <item x="2"/>
        <item h="1" f="1" x="5"/>
        <item h="1" f="1" x="6"/>
        <item x="3"/>
        <item x="4"/>
        <item t="default"/>
      </items>
    </pivotField>
    <pivotField showAll="0"/>
    <pivotField dataField="1" showAll="0"/>
    <pivotField showAll="0"/>
    <pivotField showAll="0"/>
    <pivotField showAll="0"/>
    <pivotField showAll="0"/>
    <pivotField showAll="0"/>
    <pivotField showAll="0"/>
  </pivotFields>
  <rowFields count="1">
    <field x="2"/>
  </rowFields>
  <rowItems count="6">
    <i>
      <x/>
    </i>
    <i>
      <x v="1"/>
    </i>
    <i>
      <x v="2"/>
    </i>
    <i>
      <x v="5"/>
    </i>
    <i>
      <x v="6"/>
    </i>
    <i t="grand">
      <x/>
    </i>
  </rowItems>
  <colItems count="1">
    <i/>
  </colItems>
  <dataFields count="1">
    <dataField name="Sum of Maths" fld="4" baseField="0" baseItem="0"/>
  </dataFields>
  <chartFormats count="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E09904-233B-4F37-8DBE-E25B5043D17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4:F22" firstHeaderRow="1" firstDataRow="1" firstDataCol="1"/>
  <pivotFields count="11">
    <pivotField showAll="0"/>
    <pivotField showAll="0"/>
    <pivotField axis="axisRow" showAll="0">
      <items count="8">
        <item x="0"/>
        <item x="1"/>
        <item x="2"/>
        <item f="1" x="5"/>
        <item f="1" x="6"/>
        <item x="3"/>
        <item x="4"/>
        <item t="default"/>
      </items>
    </pivotField>
    <pivotField showAll="0"/>
    <pivotField showAll="0"/>
    <pivotField showAll="0"/>
    <pivotField showAll="0"/>
    <pivotField dataField="1"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Tamil" fld="7" baseField="0" baseItem="0"/>
  </dataFields>
  <chartFormats count="9">
    <chartFormat chart="2"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2" count="1" selected="0">
            <x v="0"/>
          </reference>
        </references>
      </pivotArea>
    </chartFormat>
    <chartFormat chart="6" format="11">
      <pivotArea type="data" outline="0" fieldPosition="0">
        <references count="2">
          <reference field="4294967294" count="1" selected="0">
            <x v="0"/>
          </reference>
          <reference field="2" count="1" selected="0">
            <x v="1"/>
          </reference>
        </references>
      </pivotArea>
    </chartFormat>
    <chartFormat chart="6" format="12">
      <pivotArea type="data" outline="0" fieldPosition="0">
        <references count="2">
          <reference field="4294967294" count="1" selected="0">
            <x v="0"/>
          </reference>
          <reference field="2" count="1" selected="0">
            <x v="2"/>
          </reference>
        </references>
      </pivotArea>
    </chartFormat>
    <chartFormat chart="6" format="13">
      <pivotArea type="data" outline="0" fieldPosition="0">
        <references count="2">
          <reference field="4294967294" count="1" selected="0">
            <x v="0"/>
          </reference>
          <reference field="2" count="1" selected="0">
            <x v="3"/>
          </reference>
        </references>
      </pivotArea>
    </chartFormat>
    <chartFormat chart="6" format="14">
      <pivotArea type="data" outline="0" fieldPosition="0">
        <references count="2">
          <reference field="4294967294" count="1" selected="0">
            <x v="0"/>
          </reference>
          <reference field="2" count="1" selected="0">
            <x v="4"/>
          </reference>
        </references>
      </pivotArea>
    </chartFormat>
    <chartFormat chart="6" format="15">
      <pivotArea type="data" outline="0" fieldPosition="0">
        <references count="2">
          <reference field="4294967294" count="1" selected="0">
            <x v="0"/>
          </reference>
          <reference field="2" count="1" selected="0">
            <x v="5"/>
          </reference>
        </references>
      </pivotArea>
    </chartFormat>
    <chartFormat chart="6" format="1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DCE0D7-8236-4663-B37F-A4CB8D2D35F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20" firstHeaderRow="1" firstDataRow="1" firstDataCol="1"/>
  <pivotFields count="11">
    <pivotField showAll="0"/>
    <pivotField showAll="0"/>
    <pivotField axis="axisRow" showAll="0">
      <items count="8">
        <item x="0"/>
        <item x="1"/>
        <item x="2"/>
        <item h="1" f="1" x="5"/>
        <item h="1" f="1" x="6"/>
        <item x="3"/>
        <item x="4"/>
        <item t="default"/>
      </items>
    </pivotField>
    <pivotField showAll="0"/>
    <pivotField showAll="0"/>
    <pivotField showAll="0"/>
    <pivotField dataField="1" showAll="0"/>
    <pivotField showAll="0"/>
    <pivotField showAll="0"/>
    <pivotField showAll="0"/>
    <pivotField showAll="0"/>
  </pivotFields>
  <rowFields count="1">
    <field x="2"/>
  </rowFields>
  <rowItems count="6">
    <i>
      <x/>
    </i>
    <i>
      <x v="1"/>
    </i>
    <i>
      <x v="2"/>
    </i>
    <i>
      <x v="5"/>
    </i>
    <i>
      <x v="6"/>
    </i>
    <i t="grand">
      <x/>
    </i>
  </rowItems>
  <colItems count="1">
    <i/>
  </colItems>
  <dataFields count="1">
    <dataField name="Sum of Computer" fld="6"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51BE88-D86C-4F99-B1D3-59985E7B8F8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J9" firstHeaderRow="1" firstDataRow="1" firstDataCol="1"/>
  <pivotFields count="11">
    <pivotField showAll="0"/>
    <pivotField showAll="0"/>
    <pivotField axis="axisRow" showAll="0">
      <items count="8">
        <item x="0"/>
        <item x="1"/>
        <item x="2"/>
        <item h="1" f="1" x="5"/>
        <item h="1" f="1" x="6"/>
        <item x="3"/>
        <item x="4"/>
        <item t="default"/>
      </items>
    </pivotField>
    <pivotField showAll="0"/>
    <pivotField showAll="0"/>
    <pivotField dataField="1" showAll="0"/>
    <pivotField showAll="0"/>
    <pivotField showAll="0"/>
    <pivotField showAll="0"/>
    <pivotField showAll="0"/>
    <pivotField showAll="0"/>
  </pivotFields>
  <rowFields count="1">
    <field x="2"/>
  </rowFields>
  <rowItems count="6">
    <i>
      <x/>
    </i>
    <i>
      <x v="1"/>
    </i>
    <i>
      <x v="2"/>
    </i>
    <i>
      <x v="5"/>
    </i>
    <i>
      <x v="6"/>
    </i>
    <i t="grand">
      <x/>
    </i>
  </rowItems>
  <colItems count="1">
    <i/>
  </colItems>
  <dataFields count="1">
    <dataField name="Sum of Science" fld="5"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C80C81-C08B-49E7-A140-6E1FFE12158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9" firstHeaderRow="1" firstDataRow="1" firstDataCol="1"/>
  <pivotFields count="11">
    <pivotField showAll="0"/>
    <pivotField showAll="0"/>
    <pivotField axis="axisRow" showAll="0">
      <items count="8">
        <item x="0"/>
        <item x="1"/>
        <item x="2"/>
        <item h="1" f="1" x="5"/>
        <item h="1" f="1" x="6"/>
        <item x="3"/>
        <item x="4"/>
        <item t="default"/>
      </items>
    </pivotField>
    <pivotField showAll="0"/>
    <pivotField dataField="1" showAll="0"/>
    <pivotField showAll="0"/>
    <pivotField showAll="0"/>
    <pivotField showAll="0"/>
    <pivotField showAll="0"/>
    <pivotField showAll="0"/>
    <pivotField showAll="0"/>
  </pivotFields>
  <rowFields count="1">
    <field x="2"/>
  </rowFields>
  <rowItems count="6">
    <i>
      <x/>
    </i>
    <i>
      <x v="1"/>
    </i>
    <i>
      <x v="2"/>
    </i>
    <i>
      <x v="5"/>
    </i>
    <i>
      <x v="6"/>
    </i>
    <i t="grand">
      <x/>
    </i>
  </rowItems>
  <colItems count="1">
    <i/>
  </colItems>
  <dataFields count="1">
    <dataField name="Sum of Maths" fld="4"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D51FAE-D74C-4292-B207-92A0E7E3867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1">
    <pivotField showAll="0"/>
    <pivotField showAll="0"/>
    <pivotField axis="axisRow" showAll="0">
      <items count="8">
        <item x="0"/>
        <item x="1"/>
        <item x="2"/>
        <item h="1" f="1" x="5"/>
        <item h="1" f="1" x="6"/>
        <item x="3"/>
        <item x="4"/>
        <item t="default"/>
      </items>
    </pivotField>
    <pivotField dataField="1" showAll="0"/>
    <pivotField showAll="0"/>
    <pivotField showAll="0"/>
    <pivotField showAll="0"/>
    <pivotField showAll="0"/>
    <pivotField showAll="0"/>
    <pivotField showAll="0"/>
    <pivotField showAll="0"/>
  </pivotFields>
  <rowFields count="1">
    <field x="2"/>
  </rowFields>
  <rowItems count="6">
    <i>
      <x/>
    </i>
    <i>
      <x v="1"/>
    </i>
    <i>
      <x v="2"/>
    </i>
    <i>
      <x v="5"/>
    </i>
    <i>
      <x v="6"/>
    </i>
    <i t="grand">
      <x/>
    </i>
  </rowItems>
  <colItems count="1">
    <i/>
  </colItems>
  <dataFields count="1">
    <dataField name="Sum of English" fld="3"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5"/>
          </reference>
        </references>
      </pivotArea>
    </chartFormat>
    <chartFormat chart="4" format="12">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68C3DD-E6C4-4909-8EDA-04419E121D4B}" sourceName="Department">
  <pivotTables>
    <pivotTable tabId="5" name="PivotTable4"/>
  </pivotTables>
  <data>
    <tabular pivotCacheId="270728544">
      <items count="7">
        <i x="0" s="1"/>
        <i x="1" s="1"/>
        <i x="2" s="1"/>
        <i x="5"/>
        <i x="6"/>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9D6524C7-C3F1-4B6A-A229-FEC1F4257ACD}" sourceName="Department">
  <pivotTables>
    <pivotTable tabId="5" name="PivotTable8"/>
  </pivotTables>
  <data>
    <tabular pivotCacheId="270728544">
      <items count="7">
        <i x="0" s="1"/>
        <i x="1" s="1"/>
        <i x="2" s="1"/>
        <i x="5"/>
        <i x="6"/>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8BF1FA3-BB85-4B29-AE0A-5F8D0C29474B}" cache="Slicer_Department" caption="Depart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51371583-BA03-4257-8737-46FBE6E1D909}" cache="Slicer_Department3"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CE86F1-EB4D-4D50-B5B4-C8AE36B6E393}" name="Table1" displayName="Table1" ref="A3:K7" totalsRowShown="0">
  <autoFilter ref="A3:K7" xr:uid="{A9CE86F1-EB4D-4D50-B5B4-C8AE36B6E393}"/>
  <tableColumns count="11">
    <tableColumn id="1" xr3:uid="{B7F44F8F-691A-4544-B9E8-8BC1962C8945}" name="S.No"/>
    <tableColumn id="2" xr3:uid="{69B354C4-BBA8-4704-891A-14A6E75BAA32}" name="Name"/>
    <tableColumn id="3" xr3:uid="{F057690A-A4BF-4875-8413-7F46A385E507}" name="Department"/>
    <tableColumn id="4" xr3:uid="{077D1802-83BF-48BB-AF64-8F0D3E3646A9}" name="English"/>
    <tableColumn id="5" xr3:uid="{1155F17E-9CE9-4415-8F2A-74C68DC650A3}" name="Maths"/>
    <tableColumn id="6" xr3:uid="{DB5D51D1-39DE-41FE-A224-C88F30CDED54}" name="Science"/>
    <tableColumn id="7" xr3:uid="{69CB09B2-1D57-4F2E-95E5-1C19177A88F8}" name="Computer"/>
    <tableColumn id="8" xr3:uid="{8513D150-CEF9-4913-8BF6-50074025B91A}" name="Tamil"/>
    <tableColumn id="9" xr3:uid="{232CDEDA-6052-4696-A5F5-F9F668AE8E51}" name="Total"/>
    <tableColumn id="10" xr3:uid="{3BAD6CA0-AD41-400E-93FA-4B22F02526E4}" name="Average"/>
    <tableColumn id="11" xr3:uid="{812FB8BA-D685-417D-BF5D-85DFE917F8A1}" name="Gra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21A843-1669-4BF8-A53E-86C78DE29363}" name="Table3" displayName="Table3" ref="A3:K7" totalsRowShown="0">
  <autoFilter ref="A3:K7" xr:uid="{8221A843-1669-4BF8-A53E-86C78DE29363}"/>
  <tableColumns count="11">
    <tableColumn id="1" xr3:uid="{2E7409B6-D922-47BB-B570-DD59213E7DAB}" name="S.No"/>
    <tableColumn id="2" xr3:uid="{C2B07E19-7196-4BC8-B656-A9AAA7E17772}" name="Name"/>
    <tableColumn id="3" xr3:uid="{AD8AB0B6-44F2-4559-B88B-90B554205A17}" name="Department"/>
    <tableColumn id="4" xr3:uid="{88B83023-D022-4490-A7E1-0B55D44C75D8}" name="English"/>
    <tableColumn id="5" xr3:uid="{AED1AB0C-CC11-4B3B-A969-394E415880E2}" name="Maths"/>
    <tableColumn id="6" xr3:uid="{8CB91E99-10DC-4605-9461-D39E336B9E20}" name="Science"/>
    <tableColumn id="7" xr3:uid="{3C55C70D-E633-4519-A315-D5B1D9A9C810}" name="Computer"/>
    <tableColumn id="8" xr3:uid="{41FAD575-3FFA-4780-AFB3-AB923B09CBC3}" name="Tamil"/>
    <tableColumn id="9" xr3:uid="{EB846925-5579-4299-9768-1ADBADCA7C4A}" name="Total"/>
    <tableColumn id="10" xr3:uid="{00BFE410-7C70-4539-9522-00AD95973BF3}" name="Average"/>
    <tableColumn id="11" xr3:uid="{8368F693-F18C-47F1-B8EF-9E0FE0216967}" name="Gra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38AF1F-01C5-4695-9689-A19858FDA9F0}" name="Table4" displayName="Table4" ref="A3:K6" totalsRowShown="0">
  <autoFilter ref="A3:K6" xr:uid="{0338AF1F-01C5-4695-9689-A19858FDA9F0}"/>
  <tableColumns count="11">
    <tableColumn id="1" xr3:uid="{762A0973-E4D5-4F1B-9533-2046B870A413}" name="S.No"/>
    <tableColumn id="2" xr3:uid="{39E2105A-B3F4-497D-9F6F-39ED0525CF04}" name="Name"/>
    <tableColumn id="3" xr3:uid="{E7891EB7-35AF-4163-A2C7-A938B18018EC}" name="Department"/>
    <tableColumn id="4" xr3:uid="{5B751D91-1F8E-426B-964F-5D7F16947AE3}" name="English"/>
    <tableColumn id="5" xr3:uid="{CB04884E-CD65-4A2C-9926-4B7AE53258E2}" name="Maths"/>
    <tableColumn id="6" xr3:uid="{6C052E40-954B-45A4-9C20-0113E7AFD447}" name="Science"/>
    <tableColumn id="7" xr3:uid="{395CF58D-2BE6-478B-9169-797222B0F835}" name="Computer"/>
    <tableColumn id="8" xr3:uid="{2AB9F87D-162A-4A06-9FDB-EC2448979CF3}" name="Tamil"/>
    <tableColumn id="9" xr3:uid="{D7124443-06B8-479D-9400-2D47D161523C}" name="Total"/>
    <tableColumn id="10" xr3:uid="{950843F1-7290-4206-9896-DAD01274EB2B}" name="Average"/>
    <tableColumn id="11" xr3:uid="{D38273FB-1298-45DD-ACA8-A4D3A67CFC14}" name="Grad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CF5ADF-A908-45E9-87F3-3007C8DF4930}" name="Table5" displayName="Table5" ref="A3:K7" totalsRowShown="0">
  <autoFilter ref="A3:K7" xr:uid="{DFCF5ADF-A908-45E9-87F3-3007C8DF4930}"/>
  <tableColumns count="11">
    <tableColumn id="1" xr3:uid="{CE3480B1-99C4-477D-9899-9DC5FE57CB18}" name="S.No"/>
    <tableColumn id="2" xr3:uid="{E19ABC67-020A-4821-BE08-2396D7A93A1B}" name="Name"/>
    <tableColumn id="3" xr3:uid="{EAA61C65-3E32-4451-98C6-73186D0A0418}" name="Department"/>
    <tableColumn id="4" xr3:uid="{09431910-50E2-40C9-A750-784CFE754E48}" name="English"/>
    <tableColumn id="5" xr3:uid="{29A480B6-78B7-4860-ABC7-EBA9A1C22697}" name="Maths"/>
    <tableColumn id="6" xr3:uid="{39CC717C-BF8E-4A4D-9B2A-46578BEF2573}" name="Science"/>
    <tableColumn id="7" xr3:uid="{518600F1-F9F6-4143-A5D2-D0310A0C6B64}" name="Computer"/>
    <tableColumn id="8" xr3:uid="{4FFDD397-1BF9-4C0B-9159-A996CB7B9729}" name="Tamil"/>
    <tableColumn id="9" xr3:uid="{435DD87C-654C-4728-9798-398A9C2FD169}" name="Total"/>
    <tableColumn id="10" xr3:uid="{C71CE8B8-58E6-46AA-99FB-E60BB3105225}" name="Average"/>
    <tableColumn id="11" xr3:uid="{4255EAFF-F213-4A40-8C46-2F051A5C1540}" name="Grad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C58F45-FF54-4309-BC58-B5C1ECC8161C}" name="Table2" displayName="Table2" ref="A1:K20" totalsRowShown="0" headerRowDxfId="12" dataDxfId="11">
  <autoFilter ref="A1:K20" xr:uid="{E6C58F45-FF54-4309-BC58-B5C1ECC8161C}"/>
  <tableColumns count="11">
    <tableColumn id="1" xr3:uid="{E78314EF-F143-4061-9BD8-7FB84C391660}" name="S.No" dataDxfId="10"/>
    <tableColumn id="2" xr3:uid="{4BF6ECF6-430F-4B4C-8663-84EA53388266}" name="Name" dataDxfId="9"/>
    <tableColumn id="3" xr3:uid="{3504D1CE-D0AC-4401-9226-A941ABDDE011}" name="Department" dataDxfId="8"/>
    <tableColumn id="4" xr3:uid="{B893AF5B-4757-4D08-9A0C-B30C265B3E40}" name="English" dataDxfId="7"/>
    <tableColumn id="5" xr3:uid="{57519622-6608-471F-891C-57ACDBAA7C93}" name="Maths" dataDxfId="6"/>
    <tableColumn id="6" xr3:uid="{8BEFF202-324B-4EB5-BA49-552A2732E11E}" name="Science" dataDxfId="5"/>
    <tableColumn id="7" xr3:uid="{8124D6F3-39D9-4D1F-9AA3-C5DBB388829B}" name="Computer" dataDxfId="4"/>
    <tableColumn id="8" xr3:uid="{BA36123D-B05F-425C-AF81-13A5172E392F}" name="Tamil" dataDxfId="3"/>
    <tableColumn id="9" xr3:uid="{62764501-5C22-4335-BC06-29814037735F}" name="Total" dataDxfId="2"/>
    <tableColumn id="10" xr3:uid="{EF49E04D-62C3-4E86-A579-A16BB1731F23}" name="Average" dataDxfId="1">
      <calculatedColumnFormula>AVERAGE(D2:H2)</calculatedColumnFormula>
    </tableColumn>
    <tableColumn id="11" xr3:uid="{1E8CFA1D-C99B-4AEB-A622-298F33CAD806}" name="Grade" dataDxfId="0">
      <calculatedColumnFormula>IF(J2&gt;=90,"A+",IF(J2&gt;=80,"A",IF(J2&gt;=70,"B+",IF(J2&gt;=60,"B","C"))))</calculatedColumnFormula>
    </tableColumn>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D7AC0-1897-4CE1-856D-987B03836C0E}">
  <dimension ref="A1:K7"/>
  <sheetViews>
    <sheetView workbookViewId="0">
      <selection activeCell="D12" sqref="D12"/>
    </sheetView>
  </sheetViews>
  <sheetFormatPr defaultRowHeight="14.4" x14ac:dyDescent="0.3"/>
  <cols>
    <col min="1" max="1" width="9" bestFit="1" customWidth="1"/>
    <col min="2" max="2" width="10.33203125" bestFit="1" customWidth="1"/>
    <col min="3" max="3" width="13.21875" bestFit="1" customWidth="1"/>
    <col min="4" max="4" width="9.109375" bestFit="1" customWidth="1"/>
    <col min="5" max="5" width="9" bestFit="1" customWidth="1"/>
    <col min="6" max="6" width="9.88671875" bestFit="1" customWidth="1"/>
    <col min="7" max="7" width="11.5546875" bestFit="1" customWidth="1"/>
    <col min="8" max="9" width="9" bestFit="1" customWidth="1"/>
    <col min="10" max="10" width="9.77734375" bestFit="1" customWidth="1"/>
    <col min="11" max="11" width="9" bestFit="1" customWidth="1"/>
  </cols>
  <sheetData>
    <row r="1" spans="1:11" x14ac:dyDescent="0.3">
      <c r="A1" s="9" t="s">
        <v>45</v>
      </c>
    </row>
    <row r="3" spans="1:11" x14ac:dyDescent="0.3">
      <c r="A3" t="s">
        <v>0</v>
      </c>
      <c r="B3" t="s">
        <v>1</v>
      </c>
      <c r="C3" t="s">
        <v>2</v>
      </c>
      <c r="D3" t="s">
        <v>3</v>
      </c>
      <c r="E3" t="s">
        <v>4</v>
      </c>
      <c r="F3" t="s">
        <v>5</v>
      </c>
      <c r="G3" t="s">
        <v>6</v>
      </c>
      <c r="H3" t="s">
        <v>7</v>
      </c>
      <c r="I3" t="s">
        <v>8</v>
      </c>
      <c r="J3" t="s">
        <v>9</v>
      </c>
      <c r="K3" t="s">
        <v>10</v>
      </c>
    </row>
    <row r="4" spans="1:11" x14ac:dyDescent="0.3">
      <c r="A4">
        <v>1</v>
      </c>
      <c r="B4" t="s">
        <v>11</v>
      </c>
      <c r="C4" t="s">
        <v>12</v>
      </c>
      <c r="D4">
        <v>78</v>
      </c>
      <c r="E4">
        <v>85</v>
      </c>
      <c r="F4">
        <v>82</v>
      </c>
      <c r="G4">
        <v>91</v>
      </c>
      <c r="H4">
        <v>76</v>
      </c>
      <c r="I4">
        <v>412</v>
      </c>
      <c r="J4">
        <v>82.4</v>
      </c>
      <c r="K4" t="s">
        <v>43</v>
      </c>
    </row>
    <row r="5" spans="1:11" x14ac:dyDescent="0.3">
      <c r="A5">
        <v>14</v>
      </c>
      <c r="B5" t="s">
        <v>29</v>
      </c>
      <c r="C5" t="s">
        <v>12</v>
      </c>
      <c r="D5">
        <v>93</v>
      </c>
      <c r="E5">
        <v>95</v>
      </c>
      <c r="F5">
        <v>90</v>
      </c>
      <c r="G5">
        <v>92</v>
      </c>
      <c r="H5">
        <v>94</v>
      </c>
      <c r="I5">
        <v>464</v>
      </c>
      <c r="J5">
        <v>92.8</v>
      </c>
      <c r="K5" t="s">
        <v>44</v>
      </c>
    </row>
    <row r="6" spans="1:11" x14ac:dyDescent="0.3">
      <c r="A6">
        <v>10</v>
      </c>
      <c r="B6" t="s">
        <v>25</v>
      </c>
      <c r="C6" t="s">
        <v>12</v>
      </c>
      <c r="D6">
        <v>86</v>
      </c>
      <c r="E6">
        <v>90</v>
      </c>
      <c r="F6">
        <v>88</v>
      </c>
      <c r="G6">
        <v>85</v>
      </c>
      <c r="H6">
        <v>91</v>
      </c>
      <c r="I6">
        <v>440</v>
      </c>
      <c r="J6">
        <v>88</v>
      </c>
      <c r="K6" t="s">
        <v>43</v>
      </c>
    </row>
    <row r="7" spans="1:11" x14ac:dyDescent="0.3">
      <c r="A7">
        <v>6</v>
      </c>
      <c r="B7" t="s">
        <v>21</v>
      </c>
      <c r="C7" t="s">
        <v>12</v>
      </c>
      <c r="D7">
        <v>84</v>
      </c>
      <c r="E7">
        <v>88</v>
      </c>
      <c r="F7">
        <v>91</v>
      </c>
      <c r="G7">
        <v>86</v>
      </c>
      <c r="H7">
        <v>83</v>
      </c>
      <c r="I7">
        <v>432</v>
      </c>
      <c r="J7">
        <v>86.4</v>
      </c>
      <c r="K7"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73F7A-6A1A-4932-BABB-814D98F34F49}">
  <dimension ref="A3:G11"/>
  <sheetViews>
    <sheetView zoomScaleNormal="100" workbookViewId="0">
      <selection activeCell="D4" sqref="D4"/>
    </sheetView>
  </sheetViews>
  <sheetFormatPr defaultRowHeight="14.4" x14ac:dyDescent="0.3"/>
  <cols>
    <col min="1" max="1" width="12.44140625" bestFit="1" customWidth="1"/>
    <col min="2" max="2" width="12.88671875" bestFit="1" customWidth="1"/>
    <col min="3" max="3" width="12" bestFit="1" customWidth="1"/>
    <col min="4" max="4" width="13.77734375" bestFit="1" customWidth="1"/>
    <col min="5" max="5" width="15.44140625" bestFit="1" customWidth="1"/>
    <col min="6" max="6" width="11.6640625" bestFit="1" customWidth="1"/>
    <col min="7" max="7" width="11.109375" bestFit="1" customWidth="1"/>
  </cols>
  <sheetData>
    <row r="3" spans="1:7" x14ac:dyDescent="0.3">
      <c r="A3" s="6" t="s">
        <v>33</v>
      </c>
      <c r="B3" t="s">
        <v>37</v>
      </c>
      <c r="C3" t="s">
        <v>38</v>
      </c>
      <c r="D3" t="s">
        <v>39</v>
      </c>
      <c r="E3" t="s">
        <v>40</v>
      </c>
      <c r="F3" t="s">
        <v>41</v>
      </c>
      <c r="G3" t="s">
        <v>42</v>
      </c>
    </row>
    <row r="4" spans="1:7" x14ac:dyDescent="0.3">
      <c r="A4" s="7" t="s">
        <v>12</v>
      </c>
      <c r="B4" s="8">
        <v>341</v>
      </c>
      <c r="C4" s="8">
        <v>358</v>
      </c>
      <c r="D4" s="8">
        <v>351</v>
      </c>
      <c r="E4" s="8">
        <v>354</v>
      </c>
      <c r="F4" s="8">
        <v>344</v>
      </c>
      <c r="G4" s="8">
        <v>1748</v>
      </c>
    </row>
    <row r="5" spans="1:7" x14ac:dyDescent="0.3">
      <c r="A5" s="7" t="s">
        <v>14</v>
      </c>
      <c r="B5" s="8">
        <v>336</v>
      </c>
      <c r="C5" s="8">
        <v>342</v>
      </c>
      <c r="D5" s="8">
        <v>330</v>
      </c>
      <c r="E5" s="8">
        <v>345</v>
      </c>
      <c r="F5" s="8">
        <v>333</v>
      </c>
      <c r="G5" s="8">
        <v>1686</v>
      </c>
    </row>
    <row r="6" spans="1:7" x14ac:dyDescent="0.3">
      <c r="A6" s="7" t="s">
        <v>16</v>
      </c>
      <c r="B6" s="8">
        <v>201</v>
      </c>
      <c r="C6" s="8">
        <v>209</v>
      </c>
      <c r="D6" s="8">
        <v>208</v>
      </c>
      <c r="E6" s="8">
        <v>213</v>
      </c>
      <c r="F6" s="8">
        <v>214</v>
      </c>
      <c r="G6" s="8">
        <v>1045</v>
      </c>
    </row>
    <row r="7" spans="1:7" x14ac:dyDescent="0.3">
      <c r="A7" s="7" t="s">
        <v>18</v>
      </c>
      <c r="B7" s="8">
        <v>267</v>
      </c>
      <c r="C7" s="8">
        <v>259</v>
      </c>
      <c r="D7" s="8">
        <v>268</v>
      </c>
      <c r="E7" s="8">
        <v>276</v>
      </c>
      <c r="F7" s="8">
        <v>261</v>
      </c>
      <c r="G7" s="8">
        <v>1331</v>
      </c>
    </row>
    <row r="8" spans="1:7" x14ac:dyDescent="0.3">
      <c r="A8" s="7" t="s">
        <v>20</v>
      </c>
      <c r="B8" s="8">
        <v>227</v>
      </c>
      <c r="C8" s="8">
        <v>216</v>
      </c>
      <c r="D8" s="8">
        <v>233</v>
      </c>
      <c r="E8" s="8">
        <v>234</v>
      </c>
      <c r="F8" s="8">
        <v>241</v>
      </c>
      <c r="G8" s="8">
        <v>826</v>
      </c>
    </row>
    <row r="9" spans="1:7" x14ac:dyDescent="0.3">
      <c r="A9" s="7" t="s">
        <v>35</v>
      </c>
      <c r="B9" s="8"/>
      <c r="C9" s="8"/>
      <c r="D9" s="8"/>
      <c r="E9" s="8"/>
      <c r="F9" s="8"/>
      <c r="G9" s="8"/>
    </row>
    <row r="10" spans="1:7" x14ac:dyDescent="0.3">
      <c r="A10" s="7" t="s">
        <v>36</v>
      </c>
      <c r="B10" s="8"/>
      <c r="C10" s="8"/>
      <c r="D10" s="8"/>
      <c r="E10" s="8"/>
      <c r="F10" s="8"/>
      <c r="G10" s="8"/>
    </row>
    <row r="11" spans="1:7" x14ac:dyDescent="0.3">
      <c r="A11" s="7" t="s">
        <v>34</v>
      </c>
      <c r="B11" s="8">
        <v>1372</v>
      </c>
      <c r="C11" s="8">
        <v>1384</v>
      </c>
      <c r="D11" s="8">
        <v>1390</v>
      </c>
      <c r="E11" s="8">
        <v>1422</v>
      </c>
      <c r="F11" s="8">
        <v>1393</v>
      </c>
      <c r="G11" s="8">
        <v>6636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86F5-862B-4718-9EDC-9A3F48AE937A}">
  <dimension ref="A3:A11"/>
  <sheetViews>
    <sheetView workbookViewId="0">
      <selection activeCell="A3" sqref="A3"/>
    </sheetView>
  </sheetViews>
  <sheetFormatPr defaultRowHeight="14.4" x14ac:dyDescent="0.3"/>
  <cols>
    <col min="1" max="1" width="12.44140625" bestFit="1" customWidth="1"/>
  </cols>
  <sheetData>
    <row r="3" spans="1:1" x14ac:dyDescent="0.3">
      <c r="A3" s="6" t="s">
        <v>33</v>
      </c>
    </row>
    <row r="4" spans="1:1" x14ac:dyDescent="0.3">
      <c r="A4" s="7" t="s">
        <v>12</v>
      </c>
    </row>
    <row r="5" spans="1:1" x14ac:dyDescent="0.3">
      <c r="A5" s="7" t="s">
        <v>14</v>
      </c>
    </row>
    <row r="6" spans="1:1" x14ac:dyDescent="0.3">
      <c r="A6" s="7" t="s">
        <v>16</v>
      </c>
    </row>
    <row r="7" spans="1:1" x14ac:dyDescent="0.3">
      <c r="A7" s="7" t="s">
        <v>35</v>
      </c>
    </row>
    <row r="8" spans="1:1" x14ac:dyDescent="0.3">
      <c r="A8" s="7" t="s">
        <v>36</v>
      </c>
    </row>
    <row r="9" spans="1:1" x14ac:dyDescent="0.3">
      <c r="A9" s="7" t="s">
        <v>18</v>
      </c>
    </row>
    <row r="10" spans="1:1" x14ac:dyDescent="0.3">
      <c r="A10" s="7" t="s">
        <v>20</v>
      </c>
    </row>
    <row r="11" spans="1:1" x14ac:dyDescent="0.3">
      <c r="A11" s="7"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65F93-895D-4691-91DC-0BE9457816E6}">
  <dimension ref="A1:K7"/>
  <sheetViews>
    <sheetView workbookViewId="0">
      <selection activeCell="A3" sqref="A3:K7"/>
    </sheetView>
  </sheetViews>
  <sheetFormatPr defaultRowHeight="14.4" x14ac:dyDescent="0.3"/>
  <cols>
    <col min="1" max="1" width="9" bestFit="1" customWidth="1"/>
    <col min="2" max="2" width="11.5546875" bestFit="1" customWidth="1"/>
    <col min="3" max="3" width="13.21875" bestFit="1" customWidth="1"/>
    <col min="4" max="4" width="9.109375" bestFit="1" customWidth="1"/>
    <col min="5" max="5" width="9" bestFit="1" customWidth="1"/>
    <col min="6" max="6" width="9.88671875" bestFit="1" customWidth="1"/>
    <col min="7" max="7" width="11.5546875" bestFit="1" customWidth="1"/>
    <col min="8" max="9" width="9" bestFit="1" customWidth="1"/>
    <col min="10" max="10" width="9.77734375" bestFit="1" customWidth="1"/>
    <col min="11" max="11" width="9" bestFit="1" customWidth="1"/>
  </cols>
  <sheetData>
    <row r="1" spans="1:11" x14ac:dyDescent="0.3">
      <c r="A1" s="9" t="s">
        <v>47</v>
      </c>
    </row>
    <row r="3" spans="1:11" x14ac:dyDescent="0.3">
      <c r="A3" t="s">
        <v>0</v>
      </c>
      <c r="B3" t="s">
        <v>1</v>
      </c>
      <c r="C3" t="s">
        <v>2</v>
      </c>
      <c r="D3" t="s">
        <v>3</v>
      </c>
      <c r="E3" t="s">
        <v>4</v>
      </c>
      <c r="F3" t="s">
        <v>5</v>
      </c>
      <c r="G3" t="s">
        <v>6</v>
      </c>
      <c r="H3" t="s">
        <v>7</v>
      </c>
      <c r="I3" t="s">
        <v>8</v>
      </c>
      <c r="J3" t="s">
        <v>9</v>
      </c>
      <c r="K3" t="s">
        <v>10</v>
      </c>
    </row>
    <row r="4" spans="1:11" x14ac:dyDescent="0.3">
      <c r="A4">
        <v>16</v>
      </c>
      <c r="B4" t="s">
        <v>31</v>
      </c>
      <c r="C4" t="s">
        <v>14</v>
      </c>
      <c r="D4">
        <v>87</v>
      </c>
      <c r="E4">
        <v>91</v>
      </c>
      <c r="F4">
        <v>86</v>
      </c>
      <c r="G4">
        <v>90</v>
      </c>
      <c r="H4">
        <v>85</v>
      </c>
      <c r="I4">
        <v>439</v>
      </c>
      <c r="J4">
        <v>87.8</v>
      </c>
      <c r="K4" t="s">
        <v>43</v>
      </c>
    </row>
    <row r="5" spans="1:11" x14ac:dyDescent="0.3">
      <c r="A5">
        <v>2</v>
      </c>
      <c r="B5" t="s">
        <v>13</v>
      </c>
      <c r="C5" t="s">
        <v>14</v>
      </c>
      <c r="D5">
        <v>88</v>
      </c>
      <c r="E5">
        <v>92</v>
      </c>
      <c r="F5">
        <v>84</v>
      </c>
      <c r="G5">
        <v>89</v>
      </c>
      <c r="H5">
        <v>90</v>
      </c>
      <c r="I5">
        <v>443</v>
      </c>
      <c r="J5">
        <v>88.6</v>
      </c>
      <c r="K5" t="s">
        <v>43</v>
      </c>
    </row>
    <row r="6" spans="1:11" x14ac:dyDescent="0.3">
      <c r="A6">
        <v>12</v>
      </c>
      <c r="B6" t="s">
        <v>27</v>
      </c>
      <c r="C6" t="s">
        <v>14</v>
      </c>
      <c r="D6">
        <v>89</v>
      </c>
      <c r="E6">
        <v>84</v>
      </c>
      <c r="F6">
        <v>92</v>
      </c>
      <c r="G6">
        <v>87</v>
      </c>
      <c r="H6">
        <v>88</v>
      </c>
      <c r="I6">
        <v>440</v>
      </c>
      <c r="J6">
        <v>88</v>
      </c>
      <c r="K6" t="s">
        <v>43</v>
      </c>
    </row>
    <row r="7" spans="1:11" x14ac:dyDescent="0.3">
      <c r="A7">
        <v>7</v>
      </c>
      <c r="B7" t="s">
        <v>22</v>
      </c>
      <c r="C7" t="s">
        <v>14</v>
      </c>
      <c r="D7">
        <v>72</v>
      </c>
      <c r="E7">
        <v>75</v>
      </c>
      <c r="F7">
        <v>68</v>
      </c>
      <c r="G7">
        <v>79</v>
      </c>
      <c r="H7">
        <v>70</v>
      </c>
      <c r="I7">
        <v>364</v>
      </c>
      <c r="J7">
        <v>72.8</v>
      </c>
      <c r="K7" t="s">
        <v>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7C7D3-3F9F-4B2D-82E9-841F8450C404}">
  <dimension ref="A1:K6"/>
  <sheetViews>
    <sheetView workbookViewId="0">
      <selection activeCell="A3" sqref="A3:K6"/>
    </sheetView>
  </sheetViews>
  <sheetFormatPr defaultRowHeight="14.4" x14ac:dyDescent="0.3"/>
  <cols>
    <col min="1" max="2" width="9" bestFit="1" customWidth="1"/>
    <col min="3" max="3" width="13.21875" bestFit="1" customWidth="1"/>
    <col min="4" max="4" width="9.109375" bestFit="1" customWidth="1"/>
    <col min="5" max="5" width="9" bestFit="1" customWidth="1"/>
    <col min="6" max="6" width="9.88671875" bestFit="1" customWidth="1"/>
    <col min="7" max="7" width="11.5546875" bestFit="1" customWidth="1"/>
    <col min="8" max="9" width="9" bestFit="1" customWidth="1"/>
    <col min="10" max="10" width="9.77734375" bestFit="1" customWidth="1"/>
    <col min="11" max="11" width="9" bestFit="1" customWidth="1"/>
  </cols>
  <sheetData>
    <row r="1" spans="1:11" x14ac:dyDescent="0.3">
      <c r="A1" s="9" t="s">
        <v>48</v>
      </c>
    </row>
    <row r="3" spans="1:11" x14ac:dyDescent="0.3">
      <c r="A3" t="s">
        <v>0</v>
      </c>
      <c r="B3" t="s">
        <v>1</v>
      </c>
      <c r="C3" t="s">
        <v>2</v>
      </c>
      <c r="D3" t="s">
        <v>3</v>
      </c>
      <c r="E3" t="s">
        <v>4</v>
      </c>
      <c r="F3" t="s">
        <v>5</v>
      </c>
      <c r="G3" t="s">
        <v>6</v>
      </c>
      <c r="H3" t="s">
        <v>7</v>
      </c>
      <c r="I3" t="s">
        <v>8</v>
      </c>
      <c r="J3" t="s">
        <v>9</v>
      </c>
      <c r="K3" t="s">
        <v>10</v>
      </c>
    </row>
    <row r="4" spans="1:11" x14ac:dyDescent="0.3">
      <c r="A4">
        <v>17</v>
      </c>
      <c r="B4" t="s">
        <v>32</v>
      </c>
      <c r="C4" t="s">
        <v>20</v>
      </c>
      <c r="D4">
        <v>77</v>
      </c>
      <c r="E4">
        <v>69</v>
      </c>
      <c r="F4">
        <v>89</v>
      </c>
      <c r="G4">
        <v>87</v>
      </c>
      <c r="H4">
        <v>90</v>
      </c>
      <c r="I4">
        <v>87</v>
      </c>
      <c r="J4">
        <v>82.4</v>
      </c>
      <c r="K4" t="s">
        <v>43</v>
      </c>
    </row>
    <row r="5" spans="1:11" x14ac:dyDescent="0.3">
      <c r="A5">
        <v>11</v>
      </c>
      <c r="B5" t="s">
        <v>26</v>
      </c>
      <c r="C5" t="s">
        <v>20</v>
      </c>
      <c r="D5">
        <v>74</v>
      </c>
      <c r="E5">
        <v>78</v>
      </c>
      <c r="F5">
        <v>71</v>
      </c>
      <c r="G5">
        <v>76</v>
      </c>
      <c r="H5">
        <v>73</v>
      </c>
      <c r="I5">
        <v>372</v>
      </c>
      <c r="J5">
        <v>74.400000000000006</v>
      </c>
      <c r="K5" t="s">
        <v>46</v>
      </c>
    </row>
    <row r="6" spans="1:11" x14ac:dyDescent="0.3">
      <c r="A6">
        <v>5</v>
      </c>
      <c r="B6" t="s">
        <v>19</v>
      </c>
      <c r="C6" t="s">
        <v>20</v>
      </c>
      <c r="D6">
        <v>76</v>
      </c>
      <c r="E6">
        <v>69</v>
      </c>
      <c r="F6">
        <v>73</v>
      </c>
      <c r="G6">
        <v>71</v>
      </c>
      <c r="H6">
        <v>78</v>
      </c>
      <c r="I6">
        <v>367</v>
      </c>
      <c r="J6">
        <v>73.400000000000006</v>
      </c>
      <c r="K6" t="s">
        <v>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F556F-3808-4ECE-BB0C-2C6E43809BD6}">
  <dimension ref="A1:K7"/>
  <sheetViews>
    <sheetView workbookViewId="0">
      <selection activeCell="A3" sqref="A3:K7"/>
    </sheetView>
  </sheetViews>
  <sheetFormatPr defaultRowHeight="14.4" x14ac:dyDescent="0.3"/>
  <cols>
    <col min="1" max="1" width="9" bestFit="1" customWidth="1"/>
    <col min="2" max="2" width="10.33203125" bestFit="1" customWidth="1"/>
    <col min="3" max="3" width="13.21875" bestFit="1" customWidth="1"/>
    <col min="4" max="4" width="9.109375" bestFit="1" customWidth="1"/>
    <col min="5" max="5" width="9" bestFit="1" customWidth="1"/>
    <col min="6" max="6" width="9.88671875" bestFit="1" customWidth="1"/>
    <col min="7" max="7" width="11.5546875" bestFit="1" customWidth="1"/>
    <col min="8" max="9" width="9" bestFit="1" customWidth="1"/>
    <col min="10" max="10" width="9.77734375" bestFit="1" customWidth="1"/>
    <col min="11" max="11" width="9" bestFit="1" customWidth="1"/>
  </cols>
  <sheetData>
    <row r="1" spans="1:11" x14ac:dyDescent="0.3">
      <c r="A1" s="9" t="s">
        <v>49</v>
      </c>
    </row>
    <row r="3" spans="1:11" x14ac:dyDescent="0.3">
      <c r="A3" t="s">
        <v>0</v>
      </c>
      <c r="B3" t="s">
        <v>1</v>
      </c>
      <c r="C3" t="s">
        <v>2</v>
      </c>
      <c r="D3" t="s">
        <v>3</v>
      </c>
      <c r="E3" t="s">
        <v>4</v>
      </c>
      <c r="F3" t="s">
        <v>5</v>
      </c>
      <c r="G3" t="s">
        <v>6</v>
      </c>
      <c r="H3" t="s">
        <v>7</v>
      </c>
      <c r="I3" t="s">
        <v>8</v>
      </c>
      <c r="J3" t="s">
        <v>9</v>
      </c>
      <c r="K3" t="s">
        <v>10</v>
      </c>
    </row>
    <row r="4" spans="1:11" x14ac:dyDescent="0.3">
      <c r="A4">
        <v>1</v>
      </c>
      <c r="B4" t="s">
        <v>11</v>
      </c>
      <c r="C4" t="s">
        <v>12</v>
      </c>
      <c r="D4">
        <v>78</v>
      </c>
      <c r="E4">
        <v>85</v>
      </c>
      <c r="F4">
        <v>82</v>
      </c>
      <c r="G4">
        <v>91</v>
      </c>
      <c r="H4">
        <v>76</v>
      </c>
      <c r="I4">
        <v>412</v>
      </c>
      <c r="J4">
        <v>82.4</v>
      </c>
      <c r="K4" t="s">
        <v>43</v>
      </c>
    </row>
    <row r="5" spans="1:11" x14ac:dyDescent="0.3">
      <c r="A5">
        <v>14</v>
      </c>
      <c r="B5" t="s">
        <v>29</v>
      </c>
      <c r="C5" t="s">
        <v>12</v>
      </c>
      <c r="D5">
        <v>93</v>
      </c>
      <c r="E5">
        <v>95</v>
      </c>
      <c r="F5">
        <v>90</v>
      </c>
      <c r="G5">
        <v>92</v>
      </c>
      <c r="H5">
        <v>94</v>
      </c>
      <c r="I5">
        <v>464</v>
      </c>
      <c r="J5">
        <v>92.8</v>
      </c>
      <c r="K5" t="s">
        <v>44</v>
      </c>
    </row>
    <row r="6" spans="1:11" x14ac:dyDescent="0.3">
      <c r="A6">
        <v>10</v>
      </c>
      <c r="B6" t="s">
        <v>25</v>
      </c>
      <c r="C6" t="s">
        <v>12</v>
      </c>
      <c r="D6">
        <v>86</v>
      </c>
      <c r="E6">
        <v>90</v>
      </c>
      <c r="F6">
        <v>88</v>
      </c>
      <c r="G6">
        <v>85</v>
      </c>
      <c r="H6">
        <v>91</v>
      </c>
      <c r="I6">
        <v>440</v>
      </c>
      <c r="J6">
        <v>88</v>
      </c>
      <c r="K6" t="s">
        <v>43</v>
      </c>
    </row>
    <row r="7" spans="1:11" x14ac:dyDescent="0.3">
      <c r="A7">
        <v>6</v>
      </c>
      <c r="B7" t="s">
        <v>21</v>
      </c>
      <c r="C7" t="s">
        <v>12</v>
      </c>
      <c r="D7">
        <v>84</v>
      </c>
      <c r="E7">
        <v>88</v>
      </c>
      <c r="F7">
        <v>91</v>
      </c>
      <c r="G7">
        <v>86</v>
      </c>
      <c r="H7">
        <v>83</v>
      </c>
      <c r="I7">
        <v>432</v>
      </c>
      <c r="J7">
        <v>86.4</v>
      </c>
      <c r="K7" t="s">
        <v>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A4F9-95A6-4B98-AECE-8A059B9445EE}">
  <dimension ref="A3:J22"/>
  <sheetViews>
    <sheetView zoomScale="99" workbookViewId="0">
      <selection activeCell="A6" sqref="A3:B9"/>
    </sheetView>
  </sheetViews>
  <sheetFormatPr defaultRowHeight="14.4" x14ac:dyDescent="0.3"/>
  <cols>
    <col min="1" max="1" width="12.5546875" bestFit="1" customWidth="1"/>
    <col min="2" max="2" width="15.5546875" bestFit="1" customWidth="1"/>
    <col min="3" max="3" width="12" bestFit="1" customWidth="1"/>
    <col min="5" max="5" width="12.5546875" bestFit="1" customWidth="1"/>
    <col min="6" max="6" width="11.77734375" bestFit="1" customWidth="1"/>
    <col min="9" max="9" width="12.5546875" bestFit="1" customWidth="1"/>
    <col min="10" max="10" width="12.109375" bestFit="1" customWidth="1"/>
  </cols>
  <sheetData>
    <row r="3" spans="1:10" x14ac:dyDescent="0.3">
      <c r="A3" s="6" t="s">
        <v>33</v>
      </c>
      <c r="B3" t="s">
        <v>37</v>
      </c>
      <c r="E3" s="6" t="s">
        <v>33</v>
      </c>
      <c r="F3" t="s">
        <v>38</v>
      </c>
      <c r="I3" s="6" t="s">
        <v>33</v>
      </c>
      <c r="J3" t="s">
        <v>39</v>
      </c>
    </row>
    <row r="4" spans="1:10" x14ac:dyDescent="0.3">
      <c r="A4" s="7" t="s">
        <v>12</v>
      </c>
      <c r="B4" s="8">
        <v>341</v>
      </c>
      <c r="E4" s="7" t="s">
        <v>12</v>
      </c>
      <c r="F4" s="8">
        <v>358</v>
      </c>
      <c r="I4" s="7" t="s">
        <v>12</v>
      </c>
      <c r="J4" s="8">
        <v>351</v>
      </c>
    </row>
    <row r="5" spans="1:10" x14ac:dyDescent="0.3">
      <c r="A5" s="7" t="s">
        <v>14</v>
      </c>
      <c r="B5" s="8">
        <v>336</v>
      </c>
      <c r="E5" s="7" t="s">
        <v>14</v>
      </c>
      <c r="F5" s="8">
        <v>342</v>
      </c>
      <c r="I5" s="7" t="s">
        <v>14</v>
      </c>
      <c r="J5" s="8">
        <v>330</v>
      </c>
    </row>
    <row r="6" spans="1:10" x14ac:dyDescent="0.3">
      <c r="A6" s="7" t="s">
        <v>16</v>
      </c>
      <c r="B6" s="8">
        <v>201</v>
      </c>
      <c r="E6" s="7" t="s">
        <v>16</v>
      </c>
      <c r="F6" s="8">
        <v>209</v>
      </c>
      <c r="I6" s="7" t="s">
        <v>16</v>
      </c>
      <c r="J6" s="8">
        <v>208</v>
      </c>
    </row>
    <row r="7" spans="1:10" x14ac:dyDescent="0.3">
      <c r="A7" s="7" t="s">
        <v>18</v>
      </c>
      <c r="B7" s="8">
        <v>267</v>
      </c>
      <c r="E7" s="7" t="s">
        <v>18</v>
      </c>
      <c r="F7" s="8">
        <v>259</v>
      </c>
      <c r="I7" s="7" t="s">
        <v>18</v>
      </c>
      <c r="J7" s="8">
        <v>268</v>
      </c>
    </row>
    <row r="8" spans="1:10" x14ac:dyDescent="0.3">
      <c r="A8" s="7" t="s">
        <v>20</v>
      </c>
      <c r="B8" s="8">
        <v>227</v>
      </c>
      <c r="E8" s="7" t="s">
        <v>20</v>
      </c>
      <c r="F8" s="8">
        <v>216</v>
      </c>
      <c r="I8" s="7" t="s">
        <v>20</v>
      </c>
      <c r="J8" s="8">
        <v>233</v>
      </c>
    </row>
    <row r="9" spans="1:10" x14ac:dyDescent="0.3">
      <c r="A9" s="7" t="s">
        <v>34</v>
      </c>
      <c r="B9" s="8">
        <v>1372</v>
      </c>
      <c r="E9" s="7" t="s">
        <v>34</v>
      </c>
      <c r="F9" s="8">
        <v>1384</v>
      </c>
      <c r="I9" s="7" t="s">
        <v>34</v>
      </c>
      <c r="J9" s="8">
        <v>1390</v>
      </c>
    </row>
    <row r="14" spans="1:10" x14ac:dyDescent="0.3">
      <c r="A14" s="6" t="s">
        <v>33</v>
      </c>
      <c r="B14" t="s">
        <v>40</v>
      </c>
      <c r="E14" s="6" t="s">
        <v>33</v>
      </c>
      <c r="F14" t="s">
        <v>41</v>
      </c>
      <c r="I14" s="6" t="s">
        <v>33</v>
      </c>
      <c r="J14" t="s">
        <v>38</v>
      </c>
    </row>
    <row r="15" spans="1:10" x14ac:dyDescent="0.3">
      <c r="A15" s="7" t="s">
        <v>12</v>
      </c>
      <c r="B15" s="8">
        <v>354</v>
      </c>
      <c r="E15" s="7" t="s">
        <v>12</v>
      </c>
      <c r="F15" s="8">
        <v>344</v>
      </c>
      <c r="I15" s="7" t="s">
        <v>12</v>
      </c>
      <c r="J15" s="8">
        <v>358</v>
      </c>
    </row>
    <row r="16" spans="1:10" x14ac:dyDescent="0.3">
      <c r="A16" s="7" t="s">
        <v>14</v>
      </c>
      <c r="B16" s="8">
        <v>345</v>
      </c>
      <c r="E16" s="7" t="s">
        <v>14</v>
      </c>
      <c r="F16" s="8">
        <v>333</v>
      </c>
      <c r="I16" s="7" t="s">
        <v>14</v>
      </c>
      <c r="J16" s="8">
        <v>342</v>
      </c>
    </row>
    <row r="17" spans="1:10" x14ac:dyDescent="0.3">
      <c r="A17" s="7" t="s">
        <v>16</v>
      </c>
      <c r="B17" s="8">
        <v>213</v>
      </c>
      <c r="E17" s="7" t="s">
        <v>16</v>
      </c>
      <c r="F17" s="8">
        <v>214</v>
      </c>
      <c r="I17" s="7" t="s">
        <v>16</v>
      </c>
      <c r="J17" s="8">
        <v>209</v>
      </c>
    </row>
    <row r="18" spans="1:10" x14ac:dyDescent="0.3">
      <c r="A18" s="7" t="s">
        <v>18</v>
      </c>
      <c r="B18" s="8">
        <v>276</v>
      </c>
      <c r="E18" s="7" t="s">
        <v>35</v>
      </c>
      <c r="F18" s="8"/>
      <c r="I18" s="7" t="s">
        <v>18</v>
      </c>
      <c r="J18" s="8">
        <v>259</v>
      </c>
    </row>
    <row r="19" spans="1:10" x14ac:dyDescent="0.3">
      <c r="A19" s="7" t="s">
        <v>20</v>
      </c>
      <c r="B19" s="8">
        <v>234</v>
      </c>
      <c r="E19" s="7" t="s">
        <v>36</v>
      </c>
      <c r="F19" s="8"/>
      <c r="I19" s="7" t="s">
        <v>20</v>
      </c>
      <c r="J19" s="8">
        <v>216</v>
      </c>
    </row>
    <row r="20" spans="1:10" x14ac:dyDescent="0.3">
      <c r="A20" s="7" t="s">
        <v>34</v>
      </c>
      <c r="B20" s="8">
        <v>1422</v>
      </c>
      <c r="E20" s="7" t="s">
        <v>18</v>
      </c>
      <c r="F20" s="8">
        <v>261</v>
      </c>
      <c r="I20" s="7" t="s">
        <v>34</v>
      </c>
      <c r="J20" s="8">
        <v>1384</v>
      </c>
    </row>
    <row r="21" spans="1:10" x14ac:dyDescent="0.3">
      <c r="E21" s="7" t="s">
        <v>20</v>
      </c>
      <c r="F21" s="8">
        <v>241</v>
      </c>
    </row>
    <row r="22" spans="1:10" x14ac:dyDescent="0.3">
      <c r="E22" s="7" t="s">
        <v>34</v>
      </c>
      <c r="F22" s="8">
        <v>1393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6BF6-C413-4F99-8B82-9AF1A031663B}">
  <dimension ref="F7"/>
  <sheetViews>
    <sheetView tabSelected="1" topLeftCell="A4" workbookViewId="0">
      <selection activeCell="H12" sqref="H12"/>
    </sheetView>
  </sheetViews>
  <sheetFormatPr defaultRowHeight="14.4" x14ac:dyDescent="0.3"/>
  <sheetData>
    <row r="7" spans="6:6" ht="36.6" x14ac:dyDescent="0.7">
      <c r="F7" s="10" t="s">
        <v>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E6082-00BD-49FD-85F9-F3884EDDC851}">
  <dimension ref="A1:M20"/>
  <sheetViews>
    <sheetView workbookViewId="0">
      <selection activeCell="A2" sqref="A2:A20"/>
    </sheetView>
  </sheetViews>
  <sheetFormatPr defaultRowHeight="14.4" x14ac:dyDescent="0.3"/>
  <cols>
    <col min="3" max="3" width="12.88671875" customWidth="1"/>
    <col min="4" max="4" width="9.109375" customWidth="1"/>
    <col min="6" max="6" width="9.5546875" customWidth="1"/>
    <col min="7" max="7" width="11.33203125" customWidth="1"/>
    <col min="10" max="10" width="10" customWidth="1"/>
    <col min="13" max="13" width="9.6640625" customWidth="1"/>
  </cols>
  <sheetData>
    <row r="1" spans="1:13" x14ac:dyDescent="0.3">
      <c r="A1" s="2" t="s">
        <v>0</v>
      </c>
      <c r="B1" s="3" t="s">
        <v>1</v>
      </c>
      <c r="C1" s="3" t="s">
        <v>2</v>
      </c>
      <c r="D1" s="2" t="s">
        <v>3</v>
      </c>
      <c r="E1" s="2" t="s">
        <v>4</v>
      </c>
      <c r="F1" s="2" t="s">
        <v>5</v>
      </c>
      <c r="G1" s="2" t="s">
        <v>6</v>
      </c>
      <c r="H1" s="2" t="s">
        <v>7</v>
      </c>
      <c r="I1" s="2" t="s">
        <v>8</v>
      </c>
      <c r="J1" s="2" t="s">
        <v>9</v>
      </c>
      <c r="K1" s="3" t="s">
        <v>10</v>
      </c>
    </row>
    <row r="2" spans="1:13" ht="28.8" x14ac:dyDescent="0.3">
      <c r="A2" s="1">
        <v>1</v>
      </c>
      <c r="B2" s="4" t="s">
        <v>11</v>
      </c>
      <c r="C2" s="4" t="s">
        <v>12</v>
      </c>
      <c r="D2" s="1">
        <v>78</v>
      </c>
      <c r="E2" s="1">
        <v>85</v>
      </c>
      <c r="F2" s="1">
        <v>82</v>
      </c>
      <c r="G2" s="1">
        <v>91</v>
      </c>
      <c r="H2" s="1">
        <v>76</v>
      </c>
      <c r="I2" s="1">
        <f t="shared" ref="I2:I17" si="0">SUM(D2:H2)</f>
        <v>412</v>
      </c>
      <c r="J2" s="1">
        <f t="shared" ref="J2:J18" si="1">AVERAGE(D2:H2)</f>
        <v>82.4</v>
      </c>
      <c r="K2" s="4" t="str">
        <f t="shared" ref="K2:K9" si="2">IF(J2&gt;=90,"A+",IF(J2&gt;=80,"A",IF(J2&gt;=70,"B+",IF(J2&gt;=60,"B","C"))))</f>
        <v>A</v>
      </c>
    </row>
    <row r="3" spans="1:13" ht="28.8" x14ac:dyDescent="0.3">
      <c r="A3" s="1">
        <v>1</v>
      </c>
      <c r="B3" s="4" t="s">
        <v>13</v>
      </c>
      <c r="C3" s="4" t="s">
        <v>14</v>
      </c>
      <c r="D3" s="1">
        <v>88</v>
      </c>
      <c r="E3" s="1">
        <v>92</v>
      </c>
      <c r="F3" s="1">
        <v>84</v>
      </c>
      <c r="G3" s="1">
        <v>89</v>
      </c>
      <c r="H3" s="1">
        <v>90</v>
      </c>
      <c r="I3" s="1">
        <f t="shared" si="0"/>
        <v>443</v>
      </c>
      <c r="J3" s="1">
        <f t="shared" si="1"/>
        <v>88.6</v>
      </c>
      <c r="K3" s="4" t="str">
        <f t="shared" si="2"/>
        <v>A</v>
      </c>
    </row>
    <row r="4" spans="1:13" x14ac:dyDescent="0.3">
      <c r="A4" s="1">
        <v>1</v>
      </c>
      <c r="B4" s="4" t="s">
        <v>15</v>
      </c>
      <c r="C4" s="4" t="s">
        <v>16</v>
      </c>
      <c r="D4" s="1">
        <v>65</v>
      </c>
      <c r="E4" s="1">
        <v>72</v>
      </c>
      <c r="F4" s="1">
        <v>70</v>
      </c>
      <c r="G4" s="1">
        <v>68</v>
      </c>
      <c r="H4" s="1">
        <v>74</v>
      </c>
      <c r="I4" s="1">
        <f t="shared" si="0"/>
        <v>349</v>
      </c>
      <c r="J4" s="1">
        <f t="shared" si="1"/>
        <v>69.8</v>
      </c>
      <c r="K4" s="4" t="str">
        <f t="shared" si="2"/>
        <v>B</v>
      </c>
      <c r="M4" s="5"/>
    </row>
    <row r="5" spans="1:13" x14ac:dyDescent="0.3">
      <c r="A5" s="1">
        <v>1</v>
      </c>
      <c r="B5" s="4" t="s">
        <v>17</v>
      </c>
      <c r="C5" s="4" t="s">
        <v>18</v>
      </c>
      <c r="D5" s="1">
        <v>91</v>
      </c>
      <c r="E5" s="1">
        <v>87</v>
      </c>
      <c r="F5" s="1">
        <v>94</v>
      </c>
      <c r="G5" s="1">
        <v>96</v>
      </c>
      <c r="H5" s="1">
        <v>89</v>
      </c>
      <c r="I5" s="1">
        <f t="shared" si="0"/>
        <v>457</v>
      </c>
      <c r="J5" s="1">
        <f t="shared" si="1"/>
        <v>91.4</v>
      </c>
      <c r="K5" s="4" t="str">
        <f t="shared" si="2"/>
        <v>A+</v>
      </c>
    </row>
    <row r="6" spans="1:13" x14ac:dyDescent="0.3">
      <c r="A6" s="1">
        <v>1</v>
      </c>
      <c r="B6" s="4" t="s">
        <v>19</v>
      </c>
      <c r="C6" s="4" t="s">
        <v>20</v>
      </c>
      <c r="D6" s="1">
        <v>76</v>
      </c>
      <c r="E6" s="1">
        <v>69</v>
      </c>
      <c r="F6" s="1">
        <v>73</v>
      </c>
      <c r="G6" s="1">
        <v>71</v>
      </c>
      <c r="H6" s="1">
        <v>78</v>
      </c>
      <c r="I6" s="1">
        <f t="shared" si="0"/>
        <v>367</v>
      </c>
      <c r="J6" s="1">
        <f t="shared" si="1"/>
        <v>73.400000000000006</v>
      </c>
      <c r="K6" s="4" t="str">
        <f t="shared" si="2"/>
        <v>B+</v>
      </c>
    </row>
    <row r="7" spans="1:13" x14ac:dyDescent="0.3">
      <c r="A7" s="1">
        <v>1</v>
      </c>
      <c r="B7" s="4" t="s">
        <v>21</v>
      </c>
      <c r="C7" s="4" t="s">
        <v>12</v>
      </c>
      <c r="D7" s="1">
        <v>84</v>
      </c>
      <c r="E7" s="1">
        <v>88</v>
      </c>
      <c r="F7" s="1">
        <v>91</v>
      </c>
      <c r="G7" s="1">
        <v>86</v>
      </c>
      <c r="H7" s="1">
        <v>83</v>
      </c>
      <c r="I7" s="1">
        <f t="shared" si="0"/>
        <v>432</v>
      </c>
      <c r="J7" s="1">
        <f t="shared" si="1"/>
        <v>86.4</v>
      </c>
      <c r="K7" s="4" t="str">
        <f t="shared" si="2"/>
        <v>A</v>
      </c>
    </row>
    <row r="8" spans="1:13" ht="28.8" x14ac:dyDescent="0.3">
      <c r="A8" s="1">
        <v>1</v>
      </c>
      <c r="B8" s="4" t="s">
        <v>22</v>
      </c>
      <c r="C8" s="4" t="s">
        <v>14</v>
      </c>
      <c r="D8" s="1">
        <v>72</v>
      </c>
      <c r="E8" s="1">
        <v>75</v>
      </c>
      <c r="F8" s="1">
        <v>68</v>
      </c>
      <c r="G8" s="1">
        <v>79</v>
      </c>
      <c r="H8" s="1">
        <v>70</v>
      </c>
      <c r="I8" s="1">
        <f t="shared" si="0"/>
        <v>364</v>
      </c>
      <c r="J8" s="1">
        <f t="shared" si="1"/>
        <v>72.8</v>
      </c>
      <c r="K8" s="4" t="str">
        <f t="shared" si="2"/>
        <v>B+</v>
      </c>
    </row>
    <row r="9" spans="1:13" x14ac:dyDescent="0.3">
      <c r="A9" s="1">
        <v>1</v>
      </c>
      <c r="B9" s="4" t="s">
        <v>23</v>
      </c>
      <c r="C9" s="4" t="s">
        <v>18</v>
      </c>
      <c r="D9" s="1">
        <v>95</v>
      </c>
      <c r="E9" s="1">
        <v>93</v>
      </c>
      <c r="F9" s="1">
        <v>89</v>
      </c>
      <c r="G9" s="1">
        <v>97</v>
      </c>
      <c r="H9" s="1">
        <v>92</v>
      </c>
      <c r="I9" s="1">
        <f t="shared" si="0"/>
        <v>466</v>
      </c>
      <c r="J9" s="1">
        <f t="shared" si="1"/>
        <v>93.2</v>
      </c>
      <c r="K9" s="4" t="str">
        <f t="shared" si="2"/>
        <v>A+</v>
      </c>
    </row>
    <row r="10" spans="1:13" x14ac:dyDescent="0.3">
      <c r="A10" s="1">
        <v>1</v>
      </c>
      <c r="B10" s="4" t="s">
        <v>24</v>
      </c>
      <c r="C10" s="4" t="s">
        <v>16</v>
      </c>
      <c r="D10" s="1">
        <v>67</v>
      </c>
      <c r="E10" s="1">
        <v>64</v>
      </c>
      <c r="F10" s="1">
        <v>72</v>
      </c>
      <c r="G10" s="1">
        <v>70</v>
      </c>
      <c r="H10" s="1">
        <v>69</v>
      </c>
      <c r="I10" s="1">
        <f t="shared" si="0"/>
        <v>342</v>
      </c>
      <c r="J10" s="1">
        <f t="shared" si="1"/>
        <v>68.400000000000006</v>
      </c>
      <c r="K10" s="4"/>
    </row>
    <row r="11" spans="1:13" x14ac:dyDescent="0.3">
      <c r="A11" s="1">
        <v>1</v>
      </c>
      <c r="B11" s="4" t="s">
        <v>25</v>
      </c>
      <c r="C11" s="4" t="s">
        <v>12</v>
      </c>
      <c r="D11" s="1">
        <v>86</v>
      </c>
      <c r="E11" s="1">
        <v>90</v>
      </c>
      <c r="F11" s="1">
        <v>88</v>
      </c>
      <c r="G11" s="1">
        <v>85</v>
      </c>
      <c r="H11" s="1">
        <v>91</v>
      </c>
      <c r="I11" s="1">
        <f t="shared" si="0"/>
        <v>440</v>
      </c>
      <c r="J11" s="1">
        <f t="shared" si="1"/>
        <v>88</v>
      </c>
      <c r="K11" s="4" t="str">
        <f t="shared" ref="K11:K18" si="3">IF(J11&gt;=90,"A+",IF(J11&gt;=80,"A",IF(J11&gt;=70,"B+",IF(J11&gt;=60,"B","C"))))</f>
        <v>A</v>
      </c>
    </row>
    <row r="12" spans="1:13" x14ac:dyDescent="0.3">
      <c r="A12" s="1">
        <v>1</v>
      </c>
      <c r="B12" s="4" t="s">
        <v>26</v>
      </c>
      <c r="C12" s="4" t="s">
        <v>20</v>
      </c>
      <c r="D12" s="1">
        <v>74</v>
      </c>
      <c r="E12" s="1">
        <v>78</v>
      </c>
      <c r="F12" s="1">
        <v>71</v>
      </c>
      <c r="G12" s="1">
        <v>76</v>
      </c>
      <c r="H12" s="1">
        <v>73</v>
      </c>
      <c r="I12" s="1">
        <f t="shared" si="0"/>
        <v>372</v>
      </c>
      <c r="J12" s="1">
        <f t="shared" si="1"/>
        <v>74.400000000000006</v>
      </c>
      <c r="K12" s="4" t="str">
        <f t="shared" si="3"/>
        <v>B+</v>
      </c>
    </row>
    <row r="13" spans="1:13" ht="28.8" x14ac:dyDescent="0.3">
      <c r="A13" s="1">
        <v>1</v>
      </c>
      <c r="B13" s="4" t="s">
        <v>27</v>
      </c>
      <c r="C13" s="4" t="s">
        <v>14</v>
      </c>
      <c r="D13" s="1">
        <v>89</v>
      </c>
      <c r="E13" s="1">
        <v>84</v>
      </c>
      <c r="F13" s="1">
        <v>92</v>
      </c>
      <c r="G13" s="1">
        <v>87</v>
      </c>
      <c r="H13" s="1">
        <v>88</v>
      </c>
      <c r="I13" s="1">
        <f t="shared" si="0"/>
        <v>440</v>
      </c>
      <c r="J13" s="1">
        <f t="shared" si="1"/>
        <v>88</v>
      </c>
      <c r="K13" s="4" t="str">
        <f t="shared" si="3"/>
        <v>A</v>
      </c>
    </row>
    <row r="14" spans="1:13" x14ac:dyDescent="0.3">
      <c r="A14" s="1">
        <v>1</v>
      </c>
      <c r="B14" s="4" t="s">
        <v>28</v>
      </c>
      <c r="C14" s="4" t="s">
        <v>18</v>
      </c>
      <c r="D14" s="1">
        <v>81</v>
      </c>
      <c r="E14" s="1">
        <v>79</v>
      </c>
      <c r="F14" s="1">
        <v>85</v>
      </c>
      <c r="G14" s="1">
        <v>83</v>
      </c>
      <c r="H14" s="1">
        <v>80</v>
      </c>
      <c r="I14" s="1">
        <f t="shared" si="0"/>
        <v>408</v>
      </c>
      <c r="J14" s="1">
        <f t="shared" si="1"/>
        <v>81.599999999999994</v>
      </c>
      <c r="K14" s="4" t="str">
        <f t="shared" si="3"/>
        <v>A</v>
      </c>
    </row>
    <row r="15" spans="1:13" ht="28.8" x14ac:dyDescent="0.3">
      <c r="A15" s="1">
        <v>1</v>
      </c>
      <c r="B15" s="4" t="s">
        <v>29</v>
      </c>
      <c r="C15" s="4" t="s">
        <v>12</v>
      </c>
      <c r="D15" s="1">
        <v>93</v>
      </c>
      <c r="E15" s="1">
        <v>95</v>
      </c>
      <c r="F15" s="1">
        <v>90</v>
      </c>
      <c r="G15" s="1">
        <v>92</v>
      </c>
      <c r="H15" s="1">
        <v>94</v>
      </c>
      <c r="I15" s="1">
        <f t="shared" si="0"/>
        <v>464</v>
      </c>
      <c r="J15" s="1">
        <f t="shared" si="1"/>
        <v>92.8</v>
      </c>
      <c r="K15" s="4" t="str">
        <f t="shared" si="3"/>
        <v>A+</v>
      </c>
    </row>
    <row r="16" spans="1:13" ht="28.8" x14ac:dyDescent="0.3">
      <c r="A16" s="1">
        <v>1</v>
      </c>
      <c r="B16" s="4" t="s">
        <v>30</v>
      </c>
      <c r="C16" s="4" t="s">
        <v>16</v>
      </c>
      <c r="D16" s="1">
        <v>69</v>
      </c>
      <c r="E16" s="1">
        <v>73</v>
      </c>
      <c r="F16" s="1">
        <v>66</v>
      </c>
      <c r="G16" s="1">
        <v>75</v>
      </c>
      <c r="H16" s="1">
        <v>71</v>
      </c>
      <c r="I16" s="1">
        <f t="shared" si="0"/>
        <v>354</v>
      </c>
      <c r="J16" s="1">
        <f t="shared" si="1"/>
        <v>70.8</v>
      </c>
      <c r="K16" s="4" t="str">
        <f t="shared" si="3"/>
        <v>B+</v>
      </c>
    </row>
    <row r="17" spans="1:11" ht="28.8" x14ac:dyDescent="0.3">
      <c r="A17" s="1">
        <v>1</v>
      </c>
      <c r="B17" s="4" t="s">
        <v>31</v>
      </c>
      <c r="C17" s="4" t="s">
        <v>14</v>
      </c>
      <c r="D17" s="1">
        <v>87</v>
      </c>
      <c r="E17" s="1">
        <v>91</v>
      </c>
      <c r="F17" s="1">
        <v>86</v>
      </c>
      <c r="G17" s="1">
        <v>90</v>
      </c>
      <c r="H17" s="1">
        <v>85</v>
      </c>
      <c r="I17" s="1">
        <f t="shared" si="0"/>
        <v>439</v>
      </c>
      <c r="J17" s="1">
        <f t="shared" si="1"/>
        <v>87.8</v>
      </c>
      <c r="K17" s="4" t="str">
        <f t="shared" si="3"/>
        <v>A</v>
      </c>
    </row>
    <row r="18" spans="1:11" x14ac:dyDescent="0.3">
      <c r="A18" s="1">
        <v>1</v>
      </c>
      <c r="B18" s="4" t="s">
        <v>32</v>
      </c>
      <c r="C18" s="4" t="s">
        <v>20</v>
      </c>
      <c r="D18" s="1">
        <v>77</v>
      </c>
      <c r="E18" s="1">
        <v>69</v>
      </c>
      <c r="F18" s="1">
        <v>89</v>
      </c>
      <c r="G18" s="1">
        <v>87</v>
      </c>
      <c r="H18" s="1">
        <v>90</v>
      </c>
      <c r="I18" s="1">
        <v>87</v>
      </c>
      <c r="J18" s="1">
        <f t="shared" si="1"/>
        <v>82.4</v>
      </c>
      <c r="K18" s="4" t="str">
        <f t="shared" si="3"/>
        <v>A</v>
      </c>
    </row>
    <row r="19" spans="1:11" x14ac:dyDescent="0.3">
      <c r="A19" s="1">
        <v>1</v>
      </c>
      <c r="B19" s="4"/>
      <c r="C19" s="4"/>
      <c r="D19" s="1"/>
      <c r="E19" s="1"/>
      <c r="F19" s="1"/>
      <c r="G19" s="1"/>
      <c r="H19" s="1"/>
      <c r="I19" s="1"/>
      <c r="J19" s="1" t="e">
        <f t="shared" ref="J19:J20" si="4">AVERAGE(D19:H19)</f>
        <v>#DIV/0!</v>
      </c>
      <c r="K19" s="4" t="e">
        <f t="shared" ref="K19:K20" si="5">IF(J19&gt;=90,"A+",IF(J19&gt;=80,"A",IF(J19&gt;=70,"B+",IF(J19&gt;=60,"B","C"))))</f>
        <v>#DIV/0!</v>
      </c>
    </row>
    <row r="20" spans="1:11" x14ac:dyDescent="0.3">
      <c r="A20" s="1">
        <v>1</v>
      </c>
      <c r="B20" s="4"/>
      <c r="C20" s="4"/>
      <c r="D20" s="1"/>
      <c r="E20" s="1"/>
      <c r="F20" s="1"/>
      <c r="G20" s="1"/>
      <c r="H20" s="1"/>
      <c r="I20" s="1"/>
      <c r="J20" s="1" t="e">
        <f t="shared" si="4"/>
        <v>#DIV/0!</v>
      </c>
      <c r="K20" s="4" t="e">
        <f t="shared" si="5"/>
        <v>#DIV/0!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Sheet2</vt:lpstr>
      <vt:lpstr>Sheet3</vt:lpstr>
      <vt:lpstr>Detail2</vt:lpstr>
      <vt:lpstr>Detail3</vt:lpstr>
      <vt:lpstr>Detail4</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DIVAKAR V</dc:creator>
  <cp:lastModifiedBy>DIVAKAR V</cp:lastModifiedBy>
  <dcterms:created xsi:type="dcterms:W3CDTF">2026-09-11T04:49:26Z</dcterms:created>
  <dcterms:modified xsi:type="dcterms:W3CDTF">2026-09-11T06:47:21Z</dcterms:modified>
</cp:coreProperties>
</file>